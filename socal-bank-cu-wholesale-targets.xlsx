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Targets" sheetId="1" state="visible" r:id="rId1"/>
    <sheet name="Read Me" sheetId="2" state="visible" r:id="rId2"/>
    <sheet name="Scoring" sheetId="3" state="visible" r:id="rId3"/>
    <sheet name="Banks" sheetId="4" state="visible" r:id="rId4"/>
    <sheet name="Credit Unions" sheetId="5" state="visible" r:id="rId5"/>
  </sheets>
  <definedNames>
    <definedName name="_xlnm._FilterDatabase" localSheetId="3" hidden="1">'Banks'!$A$1:$AB$46</definedName>
    <definedName name="_xlnm._FilterDatabase" localSheetId="4" hidden="1">'Credit Unions'!$A$1:$AC$67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theme="1"/>
      <sz val="11"/>
    </font>
    <font>
      <name val="Arial"/>
      <b val="1"/>
      <color rgb="00FFFFFF"/>
    </font>
    <font>
      <name val="Arial"/>
      <b val="1"/>
      <sz val="13"/>
    </font>
    <font>
      <name val="Arial"/>
      <i val="1"/>
      <sz val="10"/>
    </font>
    <font>
      <name val="Arial"/>
      <color rgb="00008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3" fontId="9" fillId="0" borderId="0" applyAlignment="1" pivotButton="0" quotePrefix="0" xfId="0">
      <alignment vertical="top"/>
    </xf>
    <xf numFmtId="166" fontId="9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9" fontId="3" fillId="0" borderId="0" pivotButton="0" quotePrefix="0" xfId="0"/>
    <xf numFmtId="9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4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6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  <col width="28" customWidth="1" min="11" max="11"/>
    <col width="9" customWidth="1" min="12" max="12"/>
    <col width="8" customWidth="1" min="13" max="13"/>
    <col width="70" customWidth="1" min="14" max="14"/>
  </cols>
  <sheetData>
    <row r="1">
      <c r="A1" s="1" t="inlineStr">
        <is>
          <t>Wholesale non-QM prospects: banks and credit unions headquartered in LA, Orange, Riverside and San Bernardino counties</t>
        </is>
      </c>
    </row>
    <row r="2">
      <c r="A2" s="2" t="inlineStr">
        <is>
          <t>Data as of June 30, 2026 (FDIC/NCUA call reports) and calendar 2025 (HMDA). Tier 1 and Tier 2 only, sorted by capacity score. Scores and tiers pull live from the Banks / Credit Unions tabs.</t>
        </is>
      </c>
    </row>
    <row r="4" ht="45" customHeight="1">
      <c r="A4" s="3" t="inlineStr">
        <is>
          <t>Rank</t>
        </is>
      </c>
      <c r="B4" s="3" t="inlineStr">
        <is>
          <t>Type</t>
        </is>
      </c>
      <c r="C4" s="3" t="inlineStr">
        <is>
          <t>Institution</t>
        </is>
      </c>
      <c r="D4" s="3" t="inlineStr">
        <is>
          <t>City</t>
        </is>
      </c>
      <c r="E4" s="3" t="inlineStr">
        <is>
          <t>County</t>
        </is>
      </c>
      <c r="F4" s="3" t="inlineStr">
        <is>
          <t>Total assets ($M)</t>
        </is>
      </c>
      <c r="G4" s="3" t="inlineStr">
        <is>
          <t>Loan-to-deposit / share</t>
        </is>
      </c>
      <c r="H4" s="3" t="inlineStr">
        <is>
          <t>Liquidity</t>
        </is>
      </c>
      <c r="I4" s="3" t="inlineStr">
        <is>
          <t>Capital ratio</t>
        </is>
      </c>
      <c r="J4" s="3" t="inlineStr">
        <is>
          <t>% kept in portfolio (HMDA)</t>
        </is>
      </c>
      <c r="K4" s="3" t="inlineStr">
        <is>
          <t>Wholesale status</t>
        </is>
      </c>
      <c r="L4" s="3" t="inlineStr">
        <is>
          <t>Capacity score</t>
        </is>
      </c>
      <c r="M4" s="3" t="inlineStr">
        <is>
          <t>Tier</t>
        </is>
      </c>
      <c r="N4" s="3" t="inlineStr">
        <is>
          <t>Why they might say yes</t>
        </is>
      </c>
    </row>
    <row r="5">
      <c r="A5" s="4" t="n">
        <v>1</v>
      </c>
      <c r="B5" s="4" t="inlineStr">
        <is>
          <t>Credit Union</t>
        </is>
      </c>
      <c r="C5" s="5">
        <f>'Credit Unions'!B40</f>
        <v/>
      </c>
      <c r="D5" s="5">
        <f>'Credit Unions'!C40</f>
        <v/>
      </c>
      <c r="E5" s="5">
        <f>'Credit Unions'!D40</f>
        <v/>
      </c>
      <c r="F5" s="6">
        <f>'Credit Unions'!E40</f>
        <v/>
      </c>
      <c r="G5" s="7">
        <f>'Credit Unions'!I40</f>
        <v/>
      </c>
      <c r="H5" s="7">
        <f>'Credit Unions'!J40</f>
        <v/>
      </c>
      <c r="I5" s="7">
        <f>'Credit Unions'!K40</f>
        <v/>
      </c>
      <c r="J5" s="7">
        <f>IF('Credit Unions'!U40="","n/a",'Credit Unions'!U40)</f>
        <v/>
      </c>
      <c r="K5" s="5">
        <f>'Credit Unions'!Y40</f>
        <v/>
      </c>
      <c r="L5" s="5">
        <f>'Credit Unions'!Z40</f>
        <v/>
      </c>
      <c r="M5" s="5">
        <f>'Credit Unions'!AA40</f>
        <v/>
      </c>
      <c r="N5" s="8" t="inlineStr">
        <is>
          <t>Lends out only 35% of deposits; 69% of assets in cash/securities; strong capital (13.1%); little or no mortgage lending today, so you'd be pitching a new business line</t>
        </is>
      </c>
    </row>
    <row r="6">
      <c r="A6" s="4" t="n">
        <v>2</v>
      </c>
      <c r="B6" s="4" t="inlineStr">
        <is>
          <t>Credit Union</t>
        </is>
      </c>
      <c r="C6" s="5">
        <f>'Credit Unions'!B39</f>
        <v/>
      </c>
      <c r="D6" s="5">
        <f>'Credit Unions'!C39</f>
        <v/>
      </c>
      <c r="E6" s="5">
        <f>'Credit Unions'!D39</f>
        <v/>
      </c>
      <c r="F6" s="6">
        <f>'Credit Unions'!E39</f>
        <v/>
      </c>
      <c r="G6" s="7">
        <f>'Credit Unions'!I39</f>
        <v/>
      </c>
      <c r="H6" s="7">
        <f>'Credit Unions'!J39</f>
        <v/>
      </c>
      <c r="I6" s="7">
        <f>'Credit Unions'!K39</f>
        <v/>
      </c>
      <c r="J6" s="7">
        <f>IF('Credit Unions'!U39="","n/a",'Credit Unions'!U39)</f>
        <v/>
      </c>
      <c r="K6" s="5">
        <f>'Credit Unions'!Y39</f>
        <v/>
      </c>
      <c r="L6" s="5">
        <f>'Credit Unions'!Z39</f>
        <v/>
      </c>
      <c r="M6" s="5">
        <f>'Credit Unions'!AA39</f>
        <v/>
      </c>
      <c r="N6" s="8" t="inlineStr">
        <is>
          <t>Lends out only 47% of deposits; 61% of assets in cash/securities; little or no mortgage lending today, so you'd be pitching a new business line</t>
        </is>
      </c>
    </row>
    <row r="7">
      <c r="A7" s="4" t="n">
        <v>3</v>
      </c>
      <c r="B7" s="4" t="inlineStr">
        <is>
          <t>Bank</t>
        </is>
      </c>
      <c r="C7" s="5">
        <f>'Banks'!B4</f>
        <v/>
      </c>
      <c r="D7" s="5">
        <f>'Banks'!C4</f>
        <v/>
      </c>
      <c r="E7" s="5">
        <f>'Banks'!D4</f>
        <v/>
      </c>
      <c r="F7" s="6">
        <f>'Banks'!F4</f>
        <v/>
      </c>
      <c r="G7" s="7">
        <f>'Banks'!J4</f>
        <v/>
      </c>
      <c r="H7" s="7">
        <f>'Banks'!K4</f>
        <v/>
      </c>
      <c r="I7" s="7">
        <f>'Banks'!L4</f>
        <v/>
      </c>
      <c r="J7" s="7">
        <f>IF('Banks'!T4="","n/a",'Banks'!T4)</f>
        <v/>
      </c>
      <c r="K7" s="5">
        <f>'Banks'!X4</f>
        <v/>
      </c>
      <c r="L7" s="5">
        <f>'Banks'!Y4</f>
        <v/>
      </c>
      <c r="M7" s="5">
        <f>'Banks'!Z4</f>
        <v/>
      </c>
      <c r="N7" s="8" t="inlineStr">
        <is>
          <t>Lends out only 48% of deposits; 55% of assets in cash/securities; deposits outgrowing loans; little or no mortgage lending today, so you'd be pitching a new business line</t>
        </is>
      </c>
    </row>
    <row r="8">
      <c r="A8" s="4" t="n">
        <v>4</v>
      </c>
      <c r="B8" s="4" t="inlineStr">
        <is>
          <t>Bank</t>
        </is>
      </c>
      <c r="C8" s="5">
        <f>'Banks'!B8</f>
        <v/>
      </c>
      <c r="D8" s="5">
        <f>'Banks'!C8</f>
        <v/>
      </c>
      <c r="E8" s="5">
        <f>'Banks'!D8</f>
        <v/>
      </c>
      <c r="F8" s="6">
        <f>'Banks'!F8</f>
        <v/>
      </c>
      <c r="G8" s="7">
        <f>'Banks'!J8</f>
        <v/>
      </c>
      <c r="H8" s="7">
        <f>'Banks'!K8</f>
        <v/>
      </c>
      <c r="I8" s="7">
        <f>'Banks'!L8</f>
        <v/>
      </c>
      <c r="J8" s="7">
        <f>IF('Banks'!T8="","n/a",'Banks'!T8)</f>
        <v/>
      </c>
      <c r="K8" s="5">
        <f>'Banks'!X8</f>
        <v/>
      </c>
      <c r="L8" s="5">
        <f>'Banks'!Y8</f>
        <v/>
      </c>
      <c r="M8" s="5">
        <f>'Banks'!Z8</f>
        <v/>
      </c>
      <c r="N8" s="8" t="inlineStr">
        <is>
          <t>CRE at 470% of capital (above the 300% regulatory guide) so resi would diversify; deposits outgrowing loans; little or no mortgage lending today, so you'd be pitching a new business line</t>
        </is>
      </c>
    </row>
    <row r="9">
      <c r="A9" s="4" t="n">
        <v>5</v>
      </c>
      <c r="B9" s="4" t="inlineStr">
        <is>
          <t>Bank</t>
        </is>
      </c>
      <c r="C9" s="5">
        <f>'Banks'!B34</f>
        <v/>
      </c>
      <c r="D9" s="5">
        <f>'Banks'!C34</f>
        <v/>
      </c>
      <c r="E9" s="5">
        <f>'Banks'!D34</f>
        <v/>
      </c>
      <c r="F9" s="6">
        <f>'Banks'!F34</f>
        <v/>
      </c>
      <c r="G9" s="7">
        <f>'Banks'!J34</f>
        <v/>
      </c>
      <c r="H9" s="7">
        <f>'Banks'!K34</f>
        <v/>
      </c>
      <c r="I9" s="7">
        <f>'Banks'!L34</f>
        <v/>
      </c>
      <c r="J9" s="7">
        <f>IF('Banks'!T34="","n/a",'Banks'!T34)</f>
        <v/>
      </c>
      <c r="K9" s="5">
        <f>'Banks'!X34</f>
        <v/>
      </c>
      <c r="L9" s="5">
        <f>'Banks'!Y34</f>
        <v/>
      </c>
      <c r="M9" s="5">
        <f>'Banks'!Z34</f>
        <v/>
      </c>
      <c r="N9" s="8" t="inlineStr">
        <is>
          <t>CRE at 347% of capital (above the 300% regulatory guide) so resi would diversify; deposits outgrowing loans; strong capital (17.8%); little or no mortgage lending today, so you'd be pitching a new business line</t>
        </is>
      </c>
    </row>
    <row r="10">
      <c r="A10" s="4" t="n">
        <v>6</v>
      </c>
      <c r="B10" s="4" t="inlineStr">
        <is>
          <t>Bank</t>
        </is>
      </c>
      <c r="C10" s="5">
        <f>'Banks'!B24</f>
        <v/>
      </c>
      <c r="D10" s="5">
        <f>'Banks'!C24</f>
        <v/>
      </c>
      <c r="E10" s="5">
        <f>'Banks'!D24</f>
        <v/>
      </c>
      <c r="F10" s="6">
        <f>'Banks'!F24</f>
        <v/>
      </c>
      <c r="G10" s="7">
        <f>'Banks'!J24</f>
        <v/>
      </c>
      <c r="H10" s="7">
        <f>'Banks'!K24</f>
        <v/>
      </c>
      <c r="I10" s="7">
        <f>'Banks'!L24</f>
        <v/>
      </c>
      <c r="J10" s="7">
        <f>IF('Banks'!T24="","n/a",'Banks'!T24)</f>
        <v/>
      </c>
      <c r="K10" s="5">
        <f>'Banks'!X24</f>
        <v/>
      </c>
      <c r="L10" s="5">
        <f>'Banks'!Y24</f>
        <v/>
      </c>
      <c r="M10" s="5">
        <f>'Banks'!Z24</f>
        <v/>
      </c>
      <c r="N10" s="8" t="inlineStr">
        <is>
          <t>Strong capital (15.9%); little or no mortgage lending today, so you'd be pitching a new business line</t>
        </is>
      </c>
    </row>
    <row r="11">
      <c r="A11" s="4" t="n">
        <v>7</v>
      </c>
      <c r="B11" s="4" t="inlineStr">
        <is>
          <t>Credit Union</t>
        </is>
      </c>
      <c r="C11" s="5">
        <f>'Credit Unions'!B19</f>
        <v/>
      </c>
      <c r="D11" s="5">
        <f>'Credit Unions'!C19</f>
        <v/>
      </c>
      <c r="E11" s="5">
        <f>'Credit Unions'!D19</f>
        <v/>
      </c>
      <c r="F11" s="6">
        <f>'Credit Unions'!E19</f>
        <v/>
      </c>
      <c r="G11" s="7">
        <f>'Credit Unions'!I19</f>
        <v/>
      </c>
      <c r="H11" s="7">
        <f>'Credit Unions'!J19</f>
        <v/>
      </c>
      <c r="I11" s="7">
        <f>'Credit Unions'!K19</f>
        <v/>
      </c>
      <c r="J11" s="7">
        <f>IF('Credit Unions'!U19="","n/a",'Credit Unions'!U19)</f>
        <v/>
      </c>
      <c r="K11" s="5">
        <f>'Credit Unions'!Y19</f>
        <v/>
      </c>
      <c r="L11" s="5">
        <f>'Credit Unions'!Z19</f>
        <v/>
      </c>
      <c r="M11" s="5">
        <f>'Credit Unions'!AA19</f>
        <v/>
      </c>
      <c r="N11" s="8" t="inlineStr">
        <is>
          <t>Lends out only 56% of deposits; 45% of assets in cash/securities; keeps 100% of its mortgages (portfolio lender)</t>
        </is>
      </c>
    </row>
    <row r="12">
      <c r="A12" s="4" t="n">
        <v>8</v>
      </c>
      <c r="B12" s="4" t="inlineStr">
        <is>
          <t>Bank</t>
        </is>
      </c>
      <c r="C12" s="5">
        <f>'Banks'!B27</f>
        <v/>
      </c>
      <c r="D12" s="5">
        <f>'Banks'!C27</f>
        <v/>
      </c>
      <c r="E12" s="5">
        <f>'Banks'!D27</f>
        <v/>
      </c>
      <c r="F12" s="6">
        <f>'Banks'!F27</f>
        <v/>
      </c>
      <c r="G12" s="7">
        <f>'Banks'!J27</f>
        <v/>
      </c>
      <c r="H12" s="7">
        <f>'Banks'!K27</f>
        <v/>
      </c>
      <c r="I12" s="7">
        <f>'Banks'!L27</f>
        <v/>
      </c>
      <c r="J12" s="7">
        <f>IF('Banks'!T27="","n/a",'Banks'!T27)</f>
        <v/>
      </c>
      <c r="K12" s="5">
        <f>'Banks'!X27</f>
        <v/>
      </c>
      <c r="L12" s="5">
        <f>'Banks'!Y27</f>
        <v/>
      </c>
      <c r="M12" s="5">
        <f>'Banks'!Z27</f>
        <v/>
      </c>
      <c r="N12" s="8" t="inlineStr">
        <is>
          <t>Lends out only 60% of deposits; 50% of assets in cash/securities; strong capital (12.5%); little or no mortgage lending today, so you'd be pitching a new business line</t>
        </is>
      </c>
    </row>
    <row r="13">
      <c r="A13" s="4" t="n">
        <v>9</v>
      </c>
      <c r="B13" s="4" t="inlineStr">
        <is>
          <t>Credit Union</t>
        </is>
      </c>
      <c r="C13" s="5">
        <f>'Credit Unions'!B15</f>
        <v/>
      </c>
      <c r="D13" s="5">
        <f>'Credit Unions'!C15</f>
        <v/>
      </c>
      <c r="E13" s="5">
        <f>'Credit Unions'!D15</f>
        <v/>
      </c>
      <c r="F13" s="6">
        <f>'Credit Unions'!E15</f>
        <v/>
      </c>
      <c r="G13" s="7">
        <f>'Credit Unions'!I15</f>
        <v/>
      </c>
      <c r="H13" s="7">
        <f>'Credit Unions'!J15</f>
        <v/>
      </c>
      <c r="I13" s="7">
        <f>'Credit Unions'!K15</f>
        <v/>
      </c>
      <c r="J13" s="7">
        <f>IF('Credit Unions'!U15="","n/a",'Credit Unions'!U15)</f>
        <v/>
      </c>
      <c r="K13" s="5">
        <f>'Credit Unions'!Y15</f>
        <v/>
      </c>
      <c r="L13" s="5">
        <f>'Credit Unions'!Z15</f>
        <v/>
      </c>
      <c r="M13" s="5">
        <f>'Credit Unions'!AA15</f>
        <v/>
      </c>
      <c r="N13" s="8" t="inlineStr">
        <is>
          <t>Lends out only 62% of deposits; 42% of assets in cash/securities; strong capital (13.1%); keeps 93% of its mortgages (portfolio lender)</t>
        </is>
      </c>
    </row>
    <row r="14">
      <c r="A14" s="4" t="n">
        <v>10</v>
      </c>
      <c r="B14" s="4" t="inlineStr">
        <is>
          <t>Credit Union</t>
        </is>
      </c>
      <c r="C14" s="5">
        <f>'Credit Unions'!B21</f>
        <v/>
      </c>
      <c r="D14" s="5">
        <f>'Credit Unions'!C21</f>
        <v/>
      </c>
      <c r="E14" s="5">
        <f>'Credit Unions'!D21</f>
        <v/>
      </c>
      <c r="F14" s="6">
        <f>'Credit Unions'!E21</f>
        <v/>
      </c>
      <c r="G14" s="7">
        <f>'Credit Unions'!I21</f>
        <v/>
      </c>
      <c r="H14" s="7">
        <f>'Credit Unions'!J21</f>
        <v/>
      </c>
      <c r="I14" s="7">
        <f>'Credit Unions'!K21</f>
        <v/>
      </c>
      <c r="J14" s="7">
        <f>IF('Credit Unions'!U21="","n/a",'Credit Unions'!U21)</f>
        <v/>
      </c>
      <c r="K14" s="5">
        <f>'Credit Unions'!Y21</f>
        <v/>
      </c>
      <c r="L14" s="5">
        <f>'Credit Unions'!Z21</f>
        <v/>
      </c>
      <c r="M14" s="5">
        <f>'Credit Unions'!AA21</f>
        <v/>
      </c>
      <c r="N14" s="8" t="inlineStr">
        <is>
          <t>Lends out only 61% of deposits; 42% of assets in cash/securities; keeps 93% of its mortgages (portfolio lender)</t>
        </is>
      </c>
    </row>
    <row r="15">
      <c r="A15" s="4" t="n">
        <v>11</v>
      </c>
      <c r="B15" s="4" t="inlineStr">
        <is>
          <t>Credit Union</t>
        </is>
      </c>
      <c r="C15" s="5">
        <f>'Credit Unions'!B35</f>
        <v/>
      </c>
      <c r="D15" s="5">
        <f>'Credit Unions'!C35</f>
        <v/>
      </c>
      <c r="E15" s="5">
        <f>'Credit Unions'!D35</f>
        <v/>
      </c>
      <c r="F15" s="6">
        <f>'Credit Unions'!E35</f>
        <v/>
      </c>
      <c r="G15" s="7">
        <f>'Credit Unions'!I35</f>
        <v/>
      </c>
      <c r="H15" s="7">
        <f>'Credit Unions'!J35</f>
        <v/>
      </c>
      <c r="I15" s="7">
        <f>'Credit Unions'!K35</f>
        <v/>
      </c>
      <c r="J15" s="7">
        <f>IF('Credit Unions'!U35="","n/a",'Credit Unions'!U35)</f>
        <v/>
      </c>
      <c r="K15" s="5">
        <f>'Credit Unions'!Y35</f>
        <v/>
      </c>
      <c r="L15" s="5">
        <f>'Credit Unions'!Z35</f>
        <v/>
      </c>
      <c r="M15" s="5">
        <f>'Credit Unions'!AA35</f>
        <v/>
      </c>
      <c r="N15" s="8" t="inlineStr">
        <is>
          <t>Lends out only 55% of deposits; 34% of assets in cash/securities; keeps 100% of its mortgages (portfolio lender)</t>
        </is>
      </c>
    </row>
    <row r="16">
      <c r="A16" s="4" t="n">
        <v>12</v>
      </c>
      <c r="B16" s="4" t="inlineStr">
        <is>
          <t>Bank</t>
        </is>
      </c>
      <c r="C16" s="5">
        <f>'Banks'!B16</f>
        <v/>
      </c>
      <c r="D16" s="5">
        <f>'Banks'!C16</f>
        <v/>
      </c>
      <c r="E16" s="5">
        <f>'Banks'!D16</f>
        <v/>
      </c>
      <c r="F16" s="6">
        <f>'Banks'!F16</f>
        <v/>
      </c>
      <c r="G16" s="7">
        <f>'Banks'!J16</f>
        <v/>
      </c>
      <c r="H16" s="7">
        <f>'Banks'!K16</f>
        <v/>
      </c>
      <c r="I16" s="7">
        <f>'Banks'!L16</f>
        <v/>
      </c>
      <c r="J16" s="7">
        <f>IF('Banks'!T16="","n/a",'Banks'!T16)</f>
        <v/>
      </c>
      <c r="K16" s="5">
        <f>'Banks'!X16</f>
        <v/>
      </c>
      <c r="L16" s="5">
        <f>'Banks'!Y16</f>
        <v/>
      </c>
      <c r="M16" s="5">
        <f>'Banks'!Z16</f>
        <v/>
      </c>
      <c r="N16" s="8" t="inlineStr">
        <is>
          <t>Lends out only 74% of deposits; 33% of assets in cash/securities; deposits outgrowing loans; little or no mortgage lending today, so you'd be pitching a new business line</t>
        </is>
      </c>
    </row>
    <row r="17">
      <c r="A17" s="4" t="n">
        <v>13</v>
      </c>
      <c r="B17" s="4" t="inlineStr">
        <is>
          <t>Credit Union</t>
        </is>
      </c>
      <c r="C17" s="5">
        <f>'Credit Unions'!B9</f>
        <v/>
      </c>
      <c r="D17" s="5">
        <f>'Credit Unions'!C9</f>
        <v/>
      </c>
      <c r="E17" s="5">
        <f>'Credit Unions'!D9</f>
        <v/>
      </c>
      <c r="F17" s="6">
        <f>'Credit Unions'!E9</f>
        <v/>
      </c>
      <c r="G17" s="7">
        <f>'Credit Unions'!I9</f>
        <v/>
      </c>
      <c r="H17" s="7">
        <f>'Credit Unions'!J9</f>
        <v/>
      </c>
      <c r="I17" s="7">
        <f>'Credit Unions'!K9</f>
        <v/>
      </c>
      <c r="J17" s="7">
        <f>IF('Credit Unions'!U9="","n/a",'Credit Unions'!U9)</f>
        <v/>
      </c>
      <c r="K17" s="5">
        <f>'Credit Unions'!Y9</f>
        <v/>
      </c>
      <c r="L17" s="5">
        <f>'Credit Unions'!Z9</f>
        <v/>
      </c>
      <c r="M17" s="5">
        <f>'Credit Unions'!AA9</f>
        <v/>
      </c>
      <c r="N17" s="8" t="inlineStr">
        <is>
          <t>Lends out only 60% of deposits; 58% of assets in cash/securities; strong capital (12.6%); keeps 100% of its mortgages (portfolio lender); already made 8 IO/balloon/non-amortizing loans</t>
        </is>
      </c>
    </row>
    <row r="18">
      <c r="A18" s="4" t="n">
        <v>14</v>
      </c>
      <c r="B18" s="4" t="inlineStr">
        <is>
          <t>Credit Union</t>
        </is>
      </c>
      <c r="C18" s="5">
        <f>'Credit Unions'!B45</f>
        <v/>
      </c>
      <c r="D18" s="5">
        <f>'Credit Unions'!C45</f>
        <v/>
      </c>
      <c r="E18" s="5">
        <f>'Credit Unions'!D45</f>
        <v/>
      </c>
      <c r="F18" s="6">
        <f>'Credit Unions'!E45</f>
        <v/>
      </c>
      <c r="G18" s="7">
        <f>'Credit Unions'!I45</f>
        <v/>
      </c>
      <c r="H18" s="7">
        <f>'Credit Unions'!J45</f>
        <v/>
      </c>
      <c r="I18" s="7">
        <f>'Credit Unions'!K45</f>
        <v/>
      </c>
      <c r="J18" s="7">
        <f>IF('Credit Unions'!U45="","n/a",'Credit Unions'!U45)</f>
        <v/>
      </c>
      <c r="K18" s="5">
        <f>'Credit Unions'!Y45</f>
        <v/>
      </c>
      <c r="L18" s="5">
        <f>'Credit Unions'!Z45</f>
        <v/>
      </c>
      <c r="M18" s="5">
        <f>'Credit Unions'!AA45</f>
        <v/>
      </c>
      <c r="N18" s="8" t="inlineStr">
        <is>
          <t>Lends out only 57% of deposits; 45% of assets in cash/securities; strong capital (13.1%); little or no mortgage lending today, so you'd be pitching a new business line</t>
        </is>
      </c>
    </row>
    <row r="19">
      <c r="A19" s="4" t="n">
        <v>15</v>
      </c>
      <c r="B19" s="4" t="inlineStr">
        <is>
          <t>Bank</t>
        </is>
      </c>
      <c r="C19" s="5">
        <f>'Banks'!B5</f>
        <v/>
      </c>
      <c r="D19" s="5">
        <f>'Banks'!C5</f>
        <v/>
      </c>
      <c r="E19" s="5">
        <f>'Banks'!D5</f>
        <v/>
      </c>
      <c r="F19" s="6">
        <f>'Banks'!F5</f>
        <v/>
      </c>
      <c r="G19" s="7">
        <f>'Banks'!J5</f>
        <v/>
      </c>
      <c r="H19" s="7">
        <f>'Banks'!K5</f>
        <v/>
      </c>
      <c r="I19" s="7">
        <f>'Banks'!L5</f>
        <v/>
      </c>
      <c r="J19" s="7">
        <f>IF('Banks'!T5="","n/a",'Banks'!T5)</f>
        <v/>
      </c>
      <c r="K19" s="5">
        <f>'Banks'!X5</f>
        <v/>
      </c>
      <c r="L19" s="5">
        <f>'Banks'!Y5</f>
        <v/>
      </c>
      <c r="M19" s="5">
        <f>'Banks'!Z5</f>
        <v/>
      </c>
      <c r="N19" s="8" t="inlineStr">
        <is>
          <t>Deposits outgrowing loans; strong capital (14.7%); keeps 100% of its mortgages (portfolio lender); already made 2 IO/balloon/non-amortizing loans</t>
        </is>
      </c>
    </row>
    <row r="20">
      <c r="A20" s="4" t="n">
        <v>16</v>
      </c>
      <c r="B20" s="4" t="inlineStr">
        <is>
          <t>Credit Union</t>
        </is>
      </c>
      <c r="C20" s="5">
        <f>'Credit Unions'!B42</f>
        <v/>
      </c>
      <c r="D20" s="5">
        <f>'Credit Unions'!C42</f>
        <v/>
      </c>
      <c r="E20" s="5">
        <f>'Credit Unions'!D42</f>
        <v/>
      </c>
      <c r="F20" s="6">
        <f>'Credit Unions'!E42</f>
        <v/>
      </c>
      <c r="G20" s="7">
        <f>'Credit Unions'!I42</f>
        <v/>
      </c>
      <c r="H20" s="7">
        <f>'Credit Unions'!J42</f>
        <v/>
      </c>
      <c r="I20" s="7">
        <f>'Credit Unions'!K42</f>
        <v/>
      </c>
      <c r="J20" s="7">
        <f>IF('Credit Unions'!U42="","n/a",'Credit Unions'!U42)</f>
        <v/>
      </c>
      <c r="K20" s="5">
        <f>'Credit Unions'!Y42</f>
        <v/>
      </c>
      <c r="L20" s="5">
        <f>'Credit Unions'!Z42</f>
        <v/>
      </c>
      <c r="M20" s="5">
        <f>'Credit Unions'!AA42</f>
        <v/>
      </c>
      <c r="N20" s="8" t="inlineStr">
        <is>
          <t>Lends out only 69% of deposits; 36% of assets in cash/securities; keeps 100% of its mortgages (portfolio lender)</t>
        </is>
      </c>
    </row>
    <row r="21">
      <c r="A21" s="4" t="n">
        <v>17</v>
      </c>
      <c r="B21" s="4" t="inlineStr">
        <is>
          <t>Bank</t>
        </is>
      </c>
      <c r="C21" s="5">
        <f>'Banks'!B11</f>
        <v/>
      </c>
      <c r="D21" s="5">
        <f>'Banks'!C11</f>
        <v/>
      </c>
      <c r="E21" s="5">
        <f>'Banks'!D11</f>
        <v/>
      </c>
      <c r="F21" s="6">
        <f>'Banks'!F11</f>
        <v/>
      </c>
      <c r="G21" s="7">
        <f>'Banks'!J11</f>
        <v/>
      </c>
      <c r="H21" s="7">
        <f>'Banks'!K11</f>
        <v/>
      </c>
      <c r="I21" s="7">
        <f>'Banks'!L11</f>
        <v/>
      </c>
      <c r="J21" s="7">
        <f>IF('Banks'!T11="","n/a",'Banks'!T11)</f>
        <v/>
      </c>
      <c r="K21" s="5">
        <f>'Banks'!X11</f>
        <v/>
      </c>
      <c r="L21" s="5">
        <f>'Banks'!Y11</f>
        <v/>
      </c>
      <c r="M21" s="5">
        <f>'Banks'!Z11</f>
        <v/>
      </c>
      <c r="N21" s="8" t="inlineStr">
        <is>
          <t>Strong capital (13.9%); little or no mortgage lending today, so you'd be pitching a new business line</t>
        </is>
      </c>
    </row>
    <row r="22">
      <c r="A22" s="4" t="n">
        <v>18</v>
      </c>
      <c r="B22" s="4" t="inlineStr">
        <is>
          <t>Bank</t>
        </is>
      </c>
      <c r="C22" s="5">
        <f>'Banks'!B20</f>
        <v/>
      </c>
      <c r="D22" s="5">
        <f>'Banks'!C20</f>
        <v/>
      </c>
      <c r="E22" s="5">
        <f>'Banks'!D20</f>
        <v/>
      </c>
      <c r="F22" s="6">
        <f>'Banks'!F20</f>
        <v/>
      </c>
      <c r="G22" s="7">
        <f>'Banks'!J20</f>
        <v/>
      </c>
      <c r="H22" s="7">
        <f>'Banks'!K20</f>
        <v/>
      </c>
      <c r="I22" s="7">
        <f>'Banks'!L20</f>
        <v/>
      </c>
      <c r="J22" s="7">
        <f>IF('Banks'!T20="","n/a",'Banks'!T20)</f>
        <v/>
      </c>
      <c r="K22" s="5">
        <f>'Banks'!X20</f>
        <v/>
      </c>
      <c r="L22" s="5">
        <f>'Banks'!Y20</f>
        <v/>
      </c>
      <c r="M22" s="5">
        <f>'Banks'!Z20</f>
        <v/>
      </c>
      <c r="N22" s="8" t="inlineStr">
        <is>
          <t>CRE at 611% of capital (above the 300% regulatory guide) so resi would diversify; little or no mortgage lending today, so you'd be pitching a new business line</t>
        </is>
      </c>
    </row>
    <row r="23">
      <c r="A23" s="4" t="n">
        <v>19</v>
      </c>
      <c r="B23" s="4" t="inlineStr">
        <is>
          <t>Credit Union</t>
        </is>
      </c>
      <c r="C23" s="5">
        <f>'Credit Unions'!B46</f>
        <v/>
      </c>
      <c r="D23" s="5">
        <f>'Credit Unions'!C46</f>
        <v/>
      </c>
      <c r="E23" s="5">
        <f>'Credit Unions'!D46</f>
        <v/>
      </c>
      <c r="F23" s="6">
        <f>'Credit Unions'!E46</f>
        <v/>
      </c>
      <c r="G23" s="7">
        <f>'Credit Unions'!I46</f>
        <v/>
      </c>
      <c r="H23" s="7">
        <f>'Credit Unions'!J46</f>
        <v/>
      </c>
      <c r="I23" s="7">
        <f>'Credit Unions'!K46</f>
        <v/>
      </c>
      <c r="J23" s="7">
        <f>IF('Credit Unions'!U46="","n/a",'Credit Unions'!U46)</f>
        <v/>
      </c>
      <c r="K23" s="5">
        <f>'Credit Unions'!Y46</f>
        <v/>
      </c>
      <c r="L23" s="5">
        <f>'Credit Unions'!Z46</f>
        <v/>
      </c>
      <c r="M23" s="5">
        <f>'Credit Unions'!AA46</f>
        <v/>
      </c>
      <c r="N23" s="8" t="inlineStr">
        <is>
          <t>Lends out only 65% of deposits; 39% of assets in cash/securities; deposits outgrowing loans</t>
        </is>
      </c>
    </row>
    <row r="24">
      <c r="A24" s="4" t="n">
        <v>20</v>
      </c>
      <c r="B24" s="4" t="inlineStr">
        <is>
          <t>Credit Union</t>
        </is>
      </c>
      <c r="C24" s="5">
        <f>'Credit Unions'!B6</f>
        <v/>
      </c>
      <c r="D24" s="5">
        <f>'Credit Unions'!C6</f>
        <v/>
      </c>
      <c r="E24" s="5">
        <f>'Credit Unions'!D6</f>
        <v/>
      </c>
      <c r="F24" s="6">
        <f>'Credit Unions'!E6</f>
        <v/>
      </c>
      <c r="G24" s="7">
        <f>'Credit Unions'!I6</f>
        <v/>
      </c>
      <c r="H24" s="7">
        <f>'Credit Unions'!J6</f>
        <v/>
      </c>
      <c r="I24" s="7">
        <f>'Credit Unions'!K6</f>
        <v/>
      </c>
      <c r="J24" s="7">
        <f>IF('Credit Unions'!U6="","n/a",'Credit Unions'!U6)</f>
        <v/>
      </c>
      <c r="K24" s="5">
        <f>'Credit Unions'!Y6</f>
        <v/>
      </c>
      <c r="L24" s="5">
        <f>'Credit Unions'!Z6</f>
        <v/>
      </c>
      <c r="M24" s="5">
        <f>'Credit Unions'!AA6</f>
        <v/>
      </c>
      <c r="N24" s="8" t="inlineStr">
        <is>
          <t>Lends out only 70% of deposits; 43% of assets in cash/securities; keeps 100% of its mortgages (portfolio lender); already made 97 IO/balloon/non-amortizing loans</t>
        </is>
      </c>
    </row>
    <row r="25">
      <c r="A25" s="4" t="n">
        <v>21</v>
      </c>
      <c r="B25" s="4" t="inlineStr">
        <is>
          <t>Credit Union</t>
        </is>
      </c>
      <c r="C25" s="5">
        <f>'Credit Unions'!B30</f>
        <v/>
      </c>
      <c r="D25" s="5">
        <f>'Credit Unions'!C30</f>
        <v/>
      </c>
      <c r="E25" s="5">
        <f>'Credit Unions'!D30</f>
        <v/>
      </c>
      <c r="F25" s="6">
        <f>'Credit Unions'!E30</f>
        <v/>
      </c>
      <c r="G25" s="7">
        <f>'Credit Unions'!I30</f>
        <v/>
      </c>
      <c r="H25" s="7">
        <f>'Credit Unions'!J30</f>
        <v/>
      </c>
      <c r="I25" s="7">
        <f>'Credit Unions'!K30</f>
        <v/>
      </c>
      <c r="J25" s="7">
        <f>IF('Credit Unions'!U30="","n/a",'Credit Unions'!U30)</f>
        <v/>
      </c>
      <c r="K25" s="5">
        <f>'Credit Unions'!Y30</f>
        <v/>
      </c>
      <c r="L25" s="5">
        <f>'Credit Unions'!Z30</f>
        <v/>
      </c>
      <c r="M25" s="5">
        <f>'Credit Unions'!AA30</f>
        <v/>
      </c>
      <c r="N25" s="8" t="inlineStr">
        <is>
          <t>Lends out only 57% of deposits; 45% of assets in cash/securities; strong capital (13.5%); keeps 100% of its mortgages (portfolio lender)</t>
        </is>
      </c>
    </row>
    <row r="26">
      <c r="A26" s="4" t="n">
        <v>22</v>
      </c>
      <c r="B26" s="4" t="inlineStr">
        <is>
          <t>Credit Union</t>
        </is>
      </c>
      <c r="C26" s="5">
        <f>'Credit Unions'!B63</f>
        <v/>
      </c>
      <c r="D26" s="5">
        <f>'Credit Unions'!C63</f>
        <v/>
      </c>
      <c r="E26" s="5">
        <f>'Credit Unions'!D63</f>
        <v/>
      </c>
      <c r="F26" s="6">
        <f>'Credit Unions'!E63</f>
        <v/>
      </c>
      <c r="G26" s="7">
        <f>'Credit Unions'!I63</f>
        <v/>
      </c>
      <c r="H26" s="7">
        <f>'Credit Unions'!J63</f>
        <v/>
      </c>
      <c r="I26" s="7">
        <f>'Credit Unions'!K63</f>
        <v/>
      </c>
      <c r="J26" s="7">
        <f>IF('Credit Unions'!U63="","n/a",'Credit Unions'!U63)</f>
        <v/>
      </c>
      <c r="K26" s="5">
        <f>'Credit Unions'!Y63</f>
        <v/>
      </c>
      <c r="L26" s="5">
        <f>'Credit Unions'!Z63</f>
        <v/>
      </c>
      <c r="M26" s="5">
        <f>'Credit Unions'!AA63</f>
        <v/>
      </c>
      <c r="N26" s="8" t="inlineStr">
        <is>
          <t>Lends out only 50% of deposits; 53% of assets in cash/securities; deposits outgrowing loans; strong capital (23.4%); little or no mortgage lending today, so you'd be pitching a new business line</t>
        </is>
      </c>
    </row>
    <row r="27">
      <c r="A27" s="4" t="n">
        <v>23</v>
      </c>
      <c r="B27" s="4" t="inlineStr">
        <is>
          <t>Credit Union</t>
        </is>
      </c>
      <c r="C27" s="5">
        <f>'Credit Unions'!B52</f>
        <v/>
      </c>
      <c r="D27" s="5">
        <f>'Credit Unions'!C52</f>
        <v/>
      </c>
      <c r="E27" s="5">
        <f>'Credit Unions'!D52</f>
        <v/>
      </c>
      <c r="F27" s="6">
        <f>'Credit Unions'!E52</f>
        <v/>
      </c>
      <c r="G27" s="7">
        <f>'Credit Unions'!I52</f>
        <v/>
      </c>
      <c r="H27" s="7">
        <f>'Credit Unions'!J52</f>
        <v/>
      </c>
      <c r="I27" s="7">
        <f>'Credit Unions'!K52</f>
        <v/>
      </c>
      <c r="J27" s="7">
        <f>IF('Credit Unions'!U52="","n/a",'Credit Unions'!U52)</f>
        <v/>
      </c>
      <c r="K27" s="5">
        <f>'Credit Unions'!Y52</f>
        <v/>
      </c>
      <c r="L27" s="5">
        <f>'Credit Unions'!Z52</f>
        <v/>
      </c>
      <c r="M27" s="5">
        <f>'Credit Unions'!AA52</f>
        <v/>
      </c>
      <c r="N27" s="8" t="inlineStr">
        <is>
          <t>Lends out only 54% of deposits; 48% of assets in cash/securities; strong capital (14.0%); already made 1 IO/balloon/non-amortizing loans</t>
        </is>
      </c>
    </row>
    <row r="28">
      <c r="A28" s="4" t="n">
        <v>24</v>
      </c>
      <c r="B28" s="4" t="inlineStr">
        <is>
          <t>Credit Union</t>
        </is>
      </c>
      <c r="C28" s="5">
        <f>'Credit Unions'!B59</f>
        <v/>
      </c>
      <c r="D28" s="5">
        <f>'Credit Unions'!C59</f>
        <v/>
      </c>
      <c r="E28" s="5">
        <f>'Credit Unions'!D59</f>
        <v/>
      </c>
      <c r="F28" s="6">
        <f>'Credit Unions'!E59</f>
        <v/>
      </c>
      <c r="G28" s="7">
        <f>'Credit Unions'!I59</f>
        <v/>
      </c>
      <c r="H28" s="7">
        <f>'Credit Unions'!J59</f>
        <v/>
      </c>
      <c r="I28" s="7">
        <f>'Credit Unions'!K59</f>
        <v/>
      </c>
      <c r="J28" s="7">
        <f>IF('Credit Unions'!U59="","n/a",'Credit Unions'!U59)</f>
        <v/>
      </c>
      <c r="K28" s="5">
        <f>'Credit Unions'!Y59</f>
        <v/>
      </c>
      <c r="L28" s="5">
        <f>'Credit Unions'!Z59</f>
        <v/>
      </c>
      <c r="M28" s="5">
        <f>'Credit Unions'!AA59</f>
        <v/>
      </c>
      <c r="N28" s="8" t="inlineStr">
        <is>
          <t>Lends out only 46% of deposits; 52% of assets in cash/securities; little or no mortgage lending today, so you'd be pitching a new business line</t>
        </is>
      </c>
    </row>
    <row r="29">
      <c r="A29" s="4" t="n">
        <v>25</v>
      </c>
      <c r="B29" s="4" t="inlineStr">
        <is>
          <t>Credit Union</t>
        </is>
      </c>
      <c r="C29" s="5">
        <f>'Credit Unions'!B11</f>
        <v/>
      </c>
      <c r="D29" s="5">
        <f>'Credit Unions'!C11</f>
        <v/>
      </c>
      <c r="E29" s="5">
        <f>'Credit Unions'!D11</f>
        <v/>
      </c>
      <c r="F29" s="6">
        <f>'Credit Unions'!E11</f>
        <v/>
      </c>
      <c r="G29" s="7">
        <f>'Credit Unions'!I11</f>
        <v/>
      </c>
      <c r="H29" s="7">
        <f>'Credit Unions'!J11</f>
        <v/>
      </c>
      <c r="I29" s="7">
        <f>'Credit Unions'!K11</f>
        <v/>
      </c>
      <c r="J29" s="7">
        <f>IF('Credit Unions'!U11="","n/a",'Credit Unions'!U11)</f>
        <v/>
      </c>
      <c r="K29" s="5">
        <f>'Credit Unions'!Y11</f>
        <v/>
      </c>
      <c r="L29" s="5">
        <f>'Credit Unions'!Z11</f>
        <v/>
      </c>
      <c r="M29" s="5">
        <f>'Credit Unions'!AA11</f>
        <v/>
      </c>
      <c r="N29" s="8" t="inlineStr">
        <is>
          <t>Lends out only 60% of deposits; 46% of assets in cash/securities; deposits outgrowing loans; already made 1 IO/balloon/non-amortizing loans</t>
        </is>
      </c>
    </row>
    <row r="30">
      <c r="A30" s="4" t="n">
        <v>26</v>
      </c>
      <c r="B30" s="4" t="inlineStr">
        <is>
          <t>Credit Union</t>
        </is>
      </c>
      <c r="C30" s="5">
        <f>'Credit Unions'!B54</f>
        <v/>
      </c>
      <c r="D30" s="5">
        <f>'Credit Unions'!C54</f>
        <v/>
      </c>
      <c r="E30" s="5">
        <f>'Credit Unions'!D54</f>
        <v/>
      </c>
      <c r="F30" s="6">
        <f>'Credit Unions'!E54</f>
        <v/>
      </c>
      <c r="G30" s="7">
        <f>'Credit Unions'!I54</f>
        <v/>
      </c>
      <c r="H30" s="7">
        <f>'Credit Unions'!J54</f>
        <v/>
      </c>
      <c r="I30" s="7">
        <f>'Credit Unions'!K54</f>
        <v/>
      </c>
      <c r="J30" s="7">
        <f>IF('Credit Unions'!U54="","n/a",'Credit Unions'!U54)</f>
        <v/>
      </c>
      <c r="K30" s="5">
        <f>'Credit Unions'!Y54</f>
        <v/>
      </c>
      <c r="L30" s="5">
        <f>'Credit Unions'!Z54</f>
        <v/>
      </c>
      <c r="M30" s="5">
        <f>'Credit Unions'!AA54</f>
        <v/>
      </c>
      <c r="N30" s="8" t="inlineStr">
        <is>
          <t>Lends out only 55% of deposits; 49% of assets in cash/securities; little or no mortgage lending today, so you'd be pitching a new business line</t>
        </is>
      </c>
    </row>
    <row r="31">
      <c r="A31" s="4" t="n">
        <v>27</v>
      </c>
      <c r="B31" s="4" t="inlineStr">
        <is>
          <t>Credit Union</t>
        </is>
      </c>
      <c r="C31" s="5">
        <f>'Credit Unions'!B62</f>
        <v/>
      </c>
      <c r="D31" s="5">
        <f>'Credit Unions'!C62</f>
        <v/>
      </c>
      <c r="E31" s="5">
        <f>'Credit Unions'!D62</f>
        <v/>
      </c>
      <c r="F31" s="6">
        <f>'Credit Unions'!E62</f>
        <v/>
      </c>
      <c r="G31" s="7">
        <f>'Credit Unions'!I62</f>
        <v/>
      </c>
      <c r="H31" s="7">
        <f>'Credit Unions'!J62</f>
        <v/>
      </c>
      <c r="I31" s="7">
        <f>'Credit Unions'!K62</f>
        <v/>
      </c>
      <c r="J31" s="7">
        <f>IF('Credit Unions'!U62="","n/a",'Credit Unions'!U62)</f>
        <v/>
      </c>
      <c r="K31" s="5">
        <f>'Credit Unions'!Y62</f>
        <v/>
      </c>
      <c r="L31" s="5">
        <f>'Credit Unions'!Z62</f>
        <v/>
      </c>
      <c r="M31" s="5">
        <f>'Credit Unions'!AA62</f>
        <v/>
      </c>
      <c r="N31" s="8" t="inlineStr">
        <is>
          <t>Lends out only 51% of deposits; 41% of assets in cash/securities; little or no mortgage lending today, so you'd be pitching a new business line</t>
        </is>
      </c>
    </row>
    <row r="32">
      <c r="A32" s="4" t="n">
        <v>28</v>
      </c>
      <c r="B32" s="4" t="inlineStr">
        <is>
          <t>Bank</t>
        </is>
      </c>
      <c r="C32" s="5">
        <f>'Banks'!B45</f>
        <v/>
      </c>
      <c r="D32" s="5">
        <f>'Banks'!C45</f>
        <v/>
      </c>
      <c r="E32" s="5">
        <f>'Banks'!D45</f>
        <v/>
      </c>
      <c r="F32" s="6">
        <f>'Banks'!F45</f>
        <v/>
      </c>
      <c r="G32" s="7">
        <f>'Banks'!J45</f>
        <v/>
      </c>
      <c r="H32" s="7">
        <f>'Banks'!K45</f>
        <v/>
      </c>
      <c r="I32" s="7">
        <f>'Banks'!L45</f>
        <v/>
      </c>
      <c r="J32" s="7">
        <f>IF('Banks'!T45="","n/a",'Banks'!T45)</f>
        <v/>
      </c>
      <c r="K32" s="5">
        <f>'Banks'!X45</f>
        <v/>
      </c>
      <c r="L32" s="5">
        <f>'Banks'!Y45</f>
        <v/>
      </c>
      <c r="M32" s="5">
        <f>'Banks'!Z45</f>
        <v/>
      </c>
      <c r="N32" s="8" t="inlineStr">
        <is>
          <t>Lends out only 79% of deposits; deposits outgrowing loans; strong capital (13.5%); little or no mortgage lending today, so you'd be pitching a new business line</t>
        </is>
      </c>
    </row>
    <row r="33">
      <c r="A33" s="4" t="n">
        <v>29</v>
      </c>
      <c r="B33" s="4" t="inlineStr">
        <is>
          <t>Credit Union</t>
        </is>
      </c>
      <c r="C33" s="5">
        <f>'Credit Unions'!B58</f>
        <v/>
      </c>
      <c r="D33" s="5">
        <f>'Credit Unions'!C58</f>
        <v/>
      </c>
      <c r="E33" s="5">
        <f>'Credit Unions'!D58</f>
        <v/>
      </c>
      <c r="F33" s="6">
        <f>'Credit Unions'!E58</f>
        <v/>
      </c>
      <c r="G33" s="7">
        <f>'Credit Unions'!I58</f>
        <v/>
      </c>
      <c r="H33" s="7">
        <f>'Credit Unions'!J58</f>
        <v/>
      </c>
      <c r="I33" s="7">
        <f>'Credit Unions'!K58</f>
        <v/>
      </c>
      <c r="J33" s="7">
        <f>IF('Credit Unions'!U58="","n/a",'Credit Unions'!U58)</f>
        <v/>
      </c>
      <c r="K33" s="5">
        <f>'Credit Unions'!Y58</f>
        <v/>
      </c>
      <c r="L33" s="5">
        <f>'Credit Unions'!Z58</f>
        <v/>
      </c>
      <c r="M33" s="5">
        <f>'Credit Unions'!AA58</f>
        <v/>
      </c>
      <c r="N33" s="8" t="inlineStr">
        <is>
          <t>31% of assets in cash/securities; strong capital (23.4%); little or no mortgage lending today, so you'd be pitching a new business line</t>
        </is>
      </c>
    </row>
    <row r="34">
      <c r="A34" s="4" t="n">
        <v>30</v>
      </c>
      <c r="B34" s="4" t="inlineStr">
        <is>
          <t>Credit Union</t>
        </is>
      </c>
      <c r="C34" s="5">
        <f>'Credit Unions'!B49</f>
        <v/>
      </c>
      <c r="D34" s="5">
        <f>'Credit Unions'!C49</f>
        <v/>
      </c>
      <c r="E34" s="5">
        <f>'Credit Unions'!D49</f>
        <v/>
      </c>
      <c r="F34" s="6">
        <f>'Credit Unions'!E49</f>
        <v/>
      </c>
      <c r="G34" s="7">
        <f>'Credit Unions'!I49</f>
        <v/>
      </c>
      <c r="H34" s="7">
        <f>'Credit Unions'!J49</f>
        <v/>
      </c>
      <c r="I34" s="7">
        <f>'Credit Unions'!K49</f>
        <v/>
      </c>
      <c r="J34" s="7">
        <f>IF('Credit Unions'!U49="","n/a",'Credit Unions'!U49)</f>
        <v/>
      </c>
      <c r="K34" s="5">
        <f>'Credit Unions'!Y49</f>
        <v/>
      </c>
      <c r="L34" s="5">
        <f>'Credit Unions'!Z49</f>
        <v/>
      </c>
      <c r="M34" s="5">
        <f>'Credit Unions'!AA49</f>
        <v/>
      </c>
      <c r="N34" s="8" t="inlineStr">
        <is>
          <t>Lends out only 59% of deposits; 44% of assets in cash/securities; little or no mortgage lending today, so you'd be pitching a new business line</t>
        </is>
      </c>
    </row>
    <row r="35">
      <c r="A35" s="4" t="n">
        <v>31</v>
      </c>
      <c r="B35" s="4" t="inlineStr">
        <is>
          <t>Credit Union</t>
        </is>
      </c>
      <c r="C35" s="5">
        <f>'Credit Unions'!B61</f>
        <v/>
      </c>
      <c r="D35" s="5">
        <f>'Credit Unions'!C61</f>
        <v/>
      </c>
      <c r="E35" s="5">
        <f>'Credit Unions'!D61</f>
        <v/>
      </c>
      <c r="F35" s="6">
        <f>'Credit Unions'!E61</f>
        <v/>
      </c>
      <c r="G35" s="7">
        <f>'Credit Unions'!I61</f>
        <v/>
      </c>
      <c r="H35" s="7">
        <f>'Credit Unions'!J61</f>
        <v/>
      </c>
      <c r="I35" s="7">
        <f>'Credit Unions'!K61</f>
        <v/>
      </c>
      <c r="J35" s="7">
        <f>IF('Credit Unions'!U61="","n/a",'Credit Unions'!U61)</f>
        <v/>
      </c>
      <c r="K35" s="5">
        <f>'Credit Unions'!Y61</f>
        <v/>
      </c>
      <c r="L35" s="5">
        <f>'Credit Unions'!Z61</f>
        <v/>
      </c>
      <c r="M35" s="5">
        <f>'Credit Unions'!AA61</f>
        <v/>
      </c>
      <c r="N35" s="8" t="inlineStr">
        <is>
          <t>Lends out only 61% of deposits; 43% of assets in cash/securities; little or no mortgage lending today, so you'd be pitching a new business line</t>
        </is>
      </c>
    </row>
    <row r="36">
      <c r="A36" s="4" t="n">
        <v>32</v>
      </c>
      <c r="B36" s="4" t="inlineStr">
        <is>
          <t>Credit Union</t>
        </is>
      </c>
      <c r="C36" s="5">
        <f>'Credit Unions'!B57</f>
        <v/>
      </c>
      <c r="D36" s="5">
        <f>'Credit Unions'!C57</f>
        <v/>
      </c>
      <c r="E36" s="5">
        <f>'Credit Unions'!D57</f>
        <v/>
      </c>
      <c r="F36" s="6">
        <f>'Credit Unions'!E57</f>
        <v/>
      </c>
      <c r="G36" s="7">
        <f>'Credit Unions'!I57</f>
        <v/>
      </c>
      <c r="H36" s="7">
        <f>'Credit Unions'!J57</f>
        <v/>
      </c>
      <c r="I36" s="7">
        <f>'Credit Unions'!K57</f>
        <v/>
      </c>
      <c r="J36" s="7">
        <f>IF('Credit Unions'!U57="","n/a",'Credit Unions'!U57)</f>
        <v/>
      </c>
      <c r="K36" s="5">
        <f>'Credit Unions'!Y57</f>
        <v/>
      </c>
      <c r="L36" s="5">
        <f>'Credit Unions'!Z57</f>
        <v/>
      </c>
      <c r="M36" s="5">
        <f>'Credit Unions'!AA57</f>
        <v/>
      </c>
      <c r="N36" s="8" t="inlineStr">
        <is>
          <t>Lends out only 59% of deposits; 46% of assets in cash/securities; strong capital (13.8%); little or no mortgage lending today, so you'd be pitching a new business line</t>
        </is>
      </c>
    </row>
    <row r="37">
      <c r="A37" s="4" t="n">
        <v>33</v>
      </c>
      <c r="B37" s="4" t="inlineStr">
        <is>
          <t>Bank</t>
        </is>
      </c>
      <c r="C37" s="5">
        <f>'Banks'!B42</f>
        <v/>
      </c>
      <c r="D37" s="5">
        <f>'Banks'!C42</f>
        <v/>
      </c>
      <c r="E37" s="5">
        <f>'Banks'!D42</f>
        <v/>
      </c>
      <c r="F37" s="6">
        <f>'Banks'!F42</f>
        <v/>
      </c>
      <c r="G37" s="7">
        <f>'Banks'!J42</f>
        <v/>
      </c>
      <c r="H37" s="7">
        <f>'Banks'!K42</f>
        <v/>
      </c>
      <c r="I37" s="7">
        <f>'Banks'!L42</f>
        <v/>
      </c>
      <c r="J37" s="7">
        <f>IF('Banks'!T42="","n/a",'Banks'!T42)</f>
        <v/>
      </c>
      <c r="K37" s="5">
        <f>'Banks'!X42</f>
        <v/>
      </c>
      <c r="L37" s="5">
        <f>'Banks'!Y42</f>
        <v/>
      </c>
      <c r="M37" s="5">
        <f>'Banks'!Z42</f>
        <v/>
      </c>
      <c r="N37" s="8" t="inlineStr">
        <is>
          <t>Lends out only 69% of deposits; 41% of assets in cash/securities; strong capital (16.4%)</t>
        </is>
      </c>
    </row>
    <row r="38">
      <c r="A38" s="4" t="n">
        <v>34</v>
      </c>
      <c r="B38" s="4" t="inlineStr">
        <is>
          <t>Credit Union</t>
        </is>
      </c>
      <c r="C38" s="5">
        <f>'Credit Unions'!B48</f>
        <v/>
      </c>
      <c r="D38" s="5">
        <f>'Credit Unions'!C48</f>
        <v/>
      </c>
      <c r="E38" s="5">
        <f>'Credit Unions'!D48</f>
        <v/>
      </c>
      <c r="F38" s="6">
        <f>'Credit Unions'!E48</f>
        <v/>
      </c>
      <c r="G38" s="7">
        <f>'Credit Unions'!I48</f>
        <v/>
      </c>
      <c r="H38" s="7">
        <f>'Credit Unions'!J48</f>
        <v/>
      </c>
      <c r="I38" s="7">
        <f>'Credit Unions'!K48</f>
        <v/>
      </c>
      <c r="J38" s="7">
        <f>IF('Credit Unions'!U48="","n/a",'Credit Unions'!U48)</f>
        <v/>
      </c>
      <c r="K38" s="5">
        <f>'Credit Unions'!Y48</f>
        <v/>
      </c>
      <c r="L38" s="5">
        <f>'Credit Unions'!Z48</f>
        <v/>
      </c>
      <c r="M38" s="5">
        <f>'Credit Unions'!AA48</f>
        <v/>
      </c>
      <c r="N38" s="8" t="inlineStr">
        <is>
          <t>Lends out only 52% of deposits; 45% of assets in cash/securities; strong capital (13.9%)</t>
        </is>
      </c>
    </row>
    <row r="39">
      <c r="A39" s="4" t="n">
        <v>35</v>
      </c>
      <c r="B39" s="4" t="inlineStr">
        <is>
          <t>Credit Union</t>
        </is>
      </c>
      <c r="C39" s="5">
        <f>'Credit Unions'!B65</f>
        <v/>
      </c>
      <c r="D39" s="5">
        <f>'Credit Unions'!C65</f>
        <v/>
      </c>
      <c r="E39" s="5">
        <f>'Credit Unions'!D65</f>
        <v/>
      </c>
      <c r="F39" s="6">
        <f>'Credit Unions'!E65</f>
        <v/>
      </c>
      <c r="G39" s="7">
        <f>'Credit Unions'!I65</f>
        <v/>
      </c>
      <c r="H39" s="7">
        <f>'Credit Unions'!J65</f>
        <v/>
      </c>
      <c r="I39" s="7">
        <f>'Credit Unions'!K65</f>
        <v/>
      </c>
      <c r="J39" s="7">
        <f>IF('Credit Unions'!U65="","n/a",'Credit Unions'!U65)</f>
        <v/>
      </c>
      <c r="K39" s="5">
        <f>'Credit Unions'!Y65</f>
        <v/>
      </c>
      <c r="L39" s="5">
        <f>'Credit Unions'!Z65</f>
        <v/>
      </c>
      <c r="M39" s="5">
        <f>'Credit Unions'!AA65</f>
        <v/>
      </c>
      <c r="N39" s="8" t="inlineStr">
        <is>
          <t>Lends out only 71% of deposits; 34% of assets in cash/securities; strong capital (13.5%); little or no mortgage lending today, so you'd be pitching a new business line</t>
        </is>
      </c>
    </row>
    <row r="40">
      <c r="A40" s="4" t="n">
        <v>36</v>
      </c>
      <c r="B40" s="4" t="inlineStr">
        <is>
          <t>Bank</t>
        </is>
      </c>
      <c r="C40" s="5">
        <f>'Banks'!B46</f>
        <v/>
      </c>
      <c r="D40" s="5">
        <f>'Banks'!C46</f>
        <v/>
      </c>
      <c r="E40" s="5">
        <f>'Banks'!D46</f>
        <v/>
      </c>
      <c r="F40" s="6">
        <f>'Banks'!F46</f>
        <v/>
      </c>
      <c r="G40" s="7">
        <f>'Banks'!J46</f>
        <v/>
      </c>
      <c r="H40" s="7">
        <f>'Banks'!K46</f>
        <v/>
      </c>
      <c r="I40" s="7">
        <f>'Banks'!L46</f>
        <v/>
      </c>
      <c r="J40" s="7">
        <f>IF('Banks'!T46="","n/a",'Banks'!T46)</f>
        <v/>
      </c>
      <c r="K40" s="5">
        <f>'Banks'!X46</f>
        <v/>
      </c>
      <c r="L40" s="5">
        <f>'Banks'!Y46</f>
        <v/>
      </c>
      <c r="M40" s="5">
        <f>'Banks'!Z46</f>
        <v/>
      </c>
      <c r="N40" s="8" t="inlineStr">
        <is>
          <t>Lends out only 76% of deposits; deposits outgrowing loans; little or no mortgage lending today, so you'd be pitching a new business line</t>
        </is>
      </c>
    </row>
    <row r="41">
      <c r="A41" s="4" t="n">
        <v>37</v>
      </c>
      <c r="B41" s="4" t="inlineStr">
        <is>
          <t>Bank</t>
        </is>
      </c>
      <c r="C41" s="5">
        <f>'Banks'!B6</f>
        <v/>
      </c>
      <c r="D41" s="5">
        <f>'Banks'!C6</f>
        <v/>
      </c>
      <c r="E41" s="5">
        <f>'Banks'!D6</f>
        <v/>
      </c>
      <c r="F41" s="6">
        <f>'Banks'!F6</f>
        <v/>
      </c>
      <c r="G41" s="7">
        <f>'Banks'!J6</f>
        <v/>
      </c>
      <c r="H41" s="7">
        <f>'Banks'!K6</f>
        <v/>
      </c>
      <c r="I41" s="7">
        <f>'Banks'!L6</f>
        <v/>
      </c>
      <c r="J41" s="7">
        <f>IF('Banks'!T6="","n/a",'Banks'!T6)</f>
        <v/>
      </c>
      <c r="K41" s="5">
        <f>'Banks'!X6</f>
        <v/>
      </c>
      <c r="L41" s="5">
        <f>'Banks'!Y6</f>
        <v/>
      </c>
      <c r="M41" s="5">
        <f>'Banks'!Z6</f>
        <v/>
      </c>
      <c r="N41" s="8" t="inlineStr">
        <is>
          <t>Lends out only 79% of deposits; little or no mortgage lending today, so you'd be pitching a new business line</t>
        </is>
      </c>
    </row>
    <row r="42">
      <c r="A42" s="4" t="n">
        <v>38</v>
      </c>
      <c r="B42" s="4" t="inlineStr">
        <is>
          <t>Bank</t>
        </is>
      </c>
      <c r="C42" s="5">
        <f>'Banks'!B31</f>
        <v/>
      </c>
      <c r="D42" s="5">
        <f>'Banks'!C31</f>
        <v/>
      </c>
      <c r="E42" s="5">
        <f>'Banks'!D31</f>
        <v/>
      </c>
      <c r="F42" s="6">
        <f>'Banks'!F31</f>
        <v/>
      </c>
      <c r="G42" s="7">
        <f>'Banks'!J31</f>
        <v/>
      </c>
      <c r="H42" s="7">
        <f>'Banks'!K31</f>
        <v/>
      </c>
      <c r="I42" s="7">
        <f>'Banks'!L31</f>
        <v/>
      </c>
      <c r="J42" s="7">
        <f>IF('Banks'!T31="","n/a",'Banks'!T31)</f>
        <v/>
      </c>
      <c r="K42" s="5">
        <f>'Banks'!X31</f>
        <v/>
      </c>
      <c r="L42" s="5">
        <f>'Banks'!Y31</f>
        <v/>
      </c>
      <c r="M42" s="5">
        <f>'Banks'!Z31</f>
        <v/>
      </c>
      <c r="N42" s="8" t="inlineStr">
        <is>
          <t>CRE at 407% of capital (above the 300% regulatory guide) so resi would diversify; deposits outgrowing loans; strong capital (13.4%); little or no mortgage lending today, so you'd be pitching a new business line</t>
        </is>
      </c>
    </row>
    <row r="43">
      <c r="A43" s="4" t="n">
        <v>39</v>
      </c>
      <c r="B43" s="4" t="inlineStr">
        <is>
          <t>Bank</t>
        </is>
      </c>
      <c r="C43" s="5">
        <f>'Banks'!B35</f>
        <v/>
      </c>
      <c r="D43" s="5">
        <f>'Banks'!C35</f>
        <v/>
      </c>
      <c r="E43" s="5">
        <f>'Banks'!D35</f>
        <v/>
      </c>
      <c r="F43" s="6">
        <f>'Banks'!F35</f>
        <v/>
      </c>
      <c r="G43" s="7">
        <f>'Banks'!J35</f>
        <v/>
      </c>
      <c r="H43" s="7">
        <f>'Banks'!K35</f>
        <v/>
      </c>
      <c r="I43" s="7">
        <f>'Banks'!L35</f>
        <v/>
      </c>
      <c r="J43" s="7">
        <f>IF('Banks'!T35="","n/a",'Banks'!T35)</f>
        <v/>
      </c>
      <c r="K43" s="5">
        <f>'Banks'!X35</f>
        <v/>
      </c>
      <c r="L43" s="5">
        <f>'Banks'!Y35</f>
        <v/>
      </c>
      <c r="M43" s="5">
        <f>'Banks'!Z35</f>
        <v/>
      </c>
      <c r="N43" s="8" t="inlineStr">
        <is>
          <t>Deposits outgrowing loans; strong capital (16.2%); keeps 100% of its mortgages (portfolio lender)</t>
        </is>
      </c>
    </row>
    <row r="44">
      <c r="A44" s="4" t="n">
        <v>40</v>
      </c>
      <c r="B44" s="4" t="inlineStr">
        <is>
          <t>Bank</t>
        </is>
      </c>
      <c r="C44" s="5">
        <f>'Banks'!B43</f>
        <v/>
      </c>
      <c r="D44" s="5">
        <f>'Banks'!C43</f>
        <v/>
      </c>
      <c r="E44" s="5">
        <f>'Banks'!D43</f>
        <v/>
      </c>
      <c r="F44" s="6">
        <f>'Banks'!F43</f>
        <v/>
      </c>
      <c r="G44" s="7">
        <f>'Banks'!J43</f>
        <v/>
      </c>
      <c r="H44" s="7">
        <f>'Banks'!K43</f>
        <v/>
      </c>
      <c r="I44" s="7">
        <f>'Banks'!L43</f>
        <v/>
      </c>
      <c r="J44" s="7">
        <f>IF('Banks'!T43="","n/a",'Banks'!T43)</f>
        <v/>
      </c>
      <c r="K44" s="5">
        <f>'Banks'!X43</f>
        <v/>
      </c>
      <c r="L44" s="5">
        <f>'Banks'!Y43</f>
        <v/>
      </c>
      <c r="M44" s="5">
        <f>'Banks'!Z43</f>
        <v/>
      </c>
      <c r="N44" s="8" t="inlineStr">
        <is>
          <t>Deposits outgrowing loans; strong capital (14.5%); little or no mortgage lending today, so you'd be pitching a new business line</t>
        </is>
      </c>
    </row>
    <row r="45">
      <c r="A45" s="4" t="n">
        <v>41</v>
      </c>
      <c r="B45" s="4" t="inlineStr">
        <is>
          <t>Bank</t>
        </is>
      </c>
      <c r="C45" s="5">
        <f>'Banks'!B18</f>
        <v/>
      </c>
      <c r="D45" s="5">
        <f>'Banks'!C18</f>
        <v/>
      </c>
      <c r="E45" s="5">
        <f>'Banks'!D18</f>
        <v/>
      </c>
      <c r="F45" s="6">
        <f>'Banks'!F18</f>
        <v/>
      </c>
      <c r="G45" s="7">
        <f>'Banks'!J18</f>
        <v/>
      </c>
      <c r="H45" s="7">
        <f>'Banks'!K18</f>
        <v/>
      </c>
      <c r="I45" s="7">
        <f>'Banks'!L18</f>
        <v/>
      </c>
      <c r="J45" s="7">
        <f>IF('Banks'!T18="","n/a",'Banks'!T18)</f>
        <v/>
      </c>
      <c r="K45" s="5">
        <f>'Banks'!X18</f>
        <v/>
      </c>
      <c r="L45" s="5">
        <f>'Banks'!Y18</f>
        <v/>
      </c>
      <c r="M45" s="5">
        <f>'Banks'!Z18</f>
        <v/>
      </c>
      <c r="N45" s="8" t="inlineStr">
        <is>
          <t>Deposits outgrowing loans; strong capital (21.7%); little or no mortgage lending today, so you'd be pitching a new business line</t>
        </is>
      </c>
    </row>
    <row r="46">
      <c r="A46" s="4" t="n">
        <v>42</v>
      </c>
      <c r="B46" s="4" t="inlineStr">
        <is>
          <t>Credit Union</t>
        </is>
      </c>
      <c r="C46" s="5">
        <f>'Credit Unions'!B18</f>
        <v/>
      </c>
      <c r="D46" s="5">
        <f>'Credit Unions'!C18</f>
        <v/>
      </c>
      <c r="E46" s="5">
        <f>'Credit Unions'!D18</f>
        <v/>
      </c>
      <c r="F46" s="6">
        <f>'Credit Unions'!E18</f>
        <v/>
      </c>
      <c r="G46" s="7">
        <f>'Credit Unions'!I18</f>
        <v/>
      </c>
      <c r="H46" s="7">
        <f>'Credit Unions'!J18</f>
        <v/>
      </c>
      <c r="I46" s="7">
        <f>'Credit Unions'!K18</f>
        <v/>
      </c>
      <c r="J46" s="7">
        <f>IF('Credit Unions'!U18="","n/a",'Credit Unions'!U18)</f>
        <v/>
      </c>
      <c r="K46" s="5">
        <f>'Credit Unions'!Y18</f>
        <v/>
      </c>
      <c r="L46" s="5">
        <f>'Credit Unions'!Z18</f>
        <v/>
      </c>
      <c r="M46" s="5">
        <f>'Credit Unions'!AA18</f>
        <v/>
      </c>
      <c r="N46" s="8" t="inlineStr">
        <is>
          <t>Lends out only 45% of deposits; 65% of assets in cash/securities; keeps 100% of its mortgages (portfolio lender)</t>
        </is>
      </c>
    </row>
    <row r="47">
      <c r="A47" s="4" t="n">
        <v>43</v>
      </c>
      <c r="B47" s="4" t="inlineStr">
        <is>
          <t>Credit Union</t>
        </is>
      </c>
      <c r="C47" s="5">
        <f>'Credit Unions'!B20</f>
        <v/>
      </c>
      <c r="D47" s="5">
        <f>'Credit Unions'!C20</f>
        <v/>
      </c>
      <c r="E47" s="5">
        <f>'Credit Unions'!D20</f>
        <v/>
      </c>
      <c r="F47" s="6">
        <f>'Credit Unions'!E20</f>
        <v/>
      </c>
      <c r="G47" s="7">
        <f>'Credit Unions'!I20</f>
        <v/>
      </c>
      <c r="H47" s="7">
        <f>'Credit Unions'!J20</f>
        <v/>
      </c>
      <c r="I47" s="7">
        <f>'Credit Unions'!K20</f>
        <v/>
      </c>
      <c r="J47" s="7">
        <f>IF('Credit Unions'!U20="","n/a",'Credit Unions'!U20)</f>
        <v/>
      </c>
      <c r="K47" s="5">
        <f>'Credit Unions'!Y20</f>
        <v/>
      </c>
      <c r="L47" s="5">
        <f>'Credit Unions'!Z20</f>
        <v/>
      </c>
      <c r="M47" s="5">
        <f>'Credit Unions'!AA20</f>
        <v/>
      </c>
      <c r="N47" s="8" t="inlineStr">
        <is>
          <t>Deposits outgrowing loans; strong capital (12.8%); little or no mortgage lending today, so you'd be pitching a new business line</t>
        </is>
      </c>
    </row>
    <row r="48">
      <c r="A48" s="4" t="n">
        <v>44</v>
      </c>
      <c r="B48" s="4" t="inlineStr">
        <is>
          <t>Credit Union</t>
        </is>
      </c>
      <c r="C48" s="5">
        <f>'Credit Unions'!B66</f>
        <v/>
      </c>
      <c r="D48" s="5">
        <f>'Credit Unions'!C66</f>
        <v/>
      </c>
      <c r="E48" s="5">
        <f>'Credit Unions'!D66</f>
        <v/>
      </c>
      <c r="F48" s="6">
        <f>'Credit Unions'!E66</f>
        <v/>
      </c>
      <c r="G48" s="7">
        <f>'Credit Unions'!I66</f>
        <v/>
      </c>
      <c r="H48" s="7">
        <f>'Credit Unions'!J66</f>
        <v/>
      </c>
      <c r="I48" s="7">
        <f>'Credit Unions'!K66</f>
        <v/>
      </c>
      <c r="J48" s="7">
        <f>IF('Credit Unions'!U66="","n/a",'Credit Unions'!U66)</f>
        <v/>
      </c>
      <c r="K48" s="5">
        <f>'Credit Unions'!Y66</f>
        <v/>
      </c>
      <c r="L48" s="5">
        <f>'Credit Unions'!Z66</f>
        <v/>
      </c>
      <c r="M48" s="5">
        <f>'Credit Unions'!AA66</f>
        <v/>
      </c>
      <c r="N48" s="8" t="inlineStr">
        <is>
          <t>Lends out only 61% of deposits; 42% of assets in cash/securities; little or no mortgage lending today, so you'd be pitching a new business line</t>
        </is>
      </c>
    </row>
    <row r="49">
      <c r="A49" s="4" t="n">
        <v>45</v>
      </c>
      <c r="B49" s="4" t="inlineStr">
        <is>
          <t>Bank</t>
        </is>
      </c>
      <c r="C49" s="5">
        <f>'Banks'!B33</f>
        <v/>
      </c>
      <c r="D49" s="5">
        <f>'Banks'!C33</f>
        <v/>
      </c>
      <c r="E49" s="5">
        <f>'Banks'!D33</f>
        <v/>
      </c>
      <c r="F49" s="6">
        <f>'Banks'!F33</f>
        <v/>
      </c>
      <c r="G49" s="7">
        <f>'Banks'!J33</f>
        <v/>
      </c>
      <c r="H49" s="7">
        <f>'Banks'!K33</f>
        <v/>
      </c>
      <c r="I49" s="7">
        <f>'Banks'!L33</f>
        <v/>
      </c>
      <c r="J49" s="7">
        <f>IF('Banks'!T33="","n/a",'Banks'!T33)</f>
        <v/>
      </c>
      <c r="K49" s="5">
        <f>'Banks'!X33</f>
        <v/>
      </c>
      <c r="L49" s="5">
        <f>'Banks'!Y33</f>
        <v/>
      </c>
      <c r="M49" s="5">
        <f>'Banks'!Z33</f>
        <v/>
      </c>
      <c r="N49" s="8" t="inlineStr">
        <is>
          <t>CRE at 480% of capital (above the 300% regulatory guide) so resi would diversify; deposits outgrowing loans; strong capital (14.4%); little or no mortgage lending today, so you'd be pitching a new business line</t>
        </is>
      </c>
    </row>
    <row r="50">
      <c r="A50" s="4" t="n">
        <v>46</v>
      </c>
      <c r="B50" s="4" t="inlineStr">
        <is>
          <t>Bank</t>
        </is>
      </c>
      <c r="C50" s="5">
        <f>'Banks'!B37</f>
        <v/>
      </c>
      <c r="D50" s="5">
        <f>'Banks'!C37</f>
        <v/>
      </c>
      <c r="E50" s="5">
        <f>'Banks'!D37</f>
        <v/>
      </c>
      <c r="F50" s="6">
        <f>'Banks'!F37</f>
        <v/>
      </c>
      <c r="G50" s="7">
        <f>'Banks'!J37</f>
        <v/>
      </c>
      <c r="H50" s="7">
        <f>'Banks'!K37</f>
        <v/>
      </c>
      <c r="I50" s="7">
        <f>'Banks'!L37</f>
        <v/>
      </c>
      <c r="J50" s="7">
        <f>IF('Banks'!T37="","n/a",'Banks'!T37)</f>
        <v/>
      </c>
      <c r="K50" s="5">
        <f>'Banks'!X37</f>
        <v/>
      </c>
      <c r="L50" s="5">
        <f>'Banks'!Y37</f>
        <v/>
      </c>
      <c r="M50" s="5">
        <f>'Banks'!Z37</f>
        <v/>
      </c>
      <c r="N50" s="8" t="inlineStr">
        <is>
          <t>CRE at 442% of capital (above the 300% regulatory guide) so resi would diversify; little or no mortgage lending today, so you'd be pitching a new business line</t>
        </is>
      </c>
    </row>
    <row r="51">
      <c r="A51" s="4" t="n">
        <v>47</v>
      </c>
      <c r="B51" s="4" t="inlineStr">
        <is>
          <t>Bank</t>
        </is>
      </c>
      <c r="C51" s="5">
        <f>'Banks'!B39</f>
        <v/>
      </c>
      <c r="D51" s="5">
        <f>'Banks'!C39</f>
        <v/>
      </c>
      <c r="E51" s="5">
        <f>'Banks'!D39</f>
        <v/>
      </c>
      <c r="F51" s="6">
        <f>'Banks'!F39</f>
        <v/>
      </c>
      <c r="G51" s="7">
        <f>'Banks'!J39</f>
        <v/>
      </c>
      <c r="H51" s="7">
        <f>'Banks'!K39</f>
        <v/>
      </c>
      <c r="I51" s="7">
        <f>'Banks'!L39</f>
        <v/>
      </c>
      <c r="J51" s="7">
        <f>IF('Banks'!T39="","n/a",'Banks'!T39)</f>
        <v/>
      </c>
      <c r="K51" s="5">
        <f>'Banks'!X39</f>
        <v/>
      </c>
      <c r="L51" s="5">
        <f>'Banks'!Y39</f>
        <v/>
      </c>
      <c r="M51" s="5">
        <f>'Banks'!Z39</f>
        <v/>
      </c>
      <c r="N51" s="8" t="inlineStr">
        <is>
          <t>CRE at 375% of capital (above the 300% regulatory guide) so resi would diversify; strong capital (17.4%); little or no mortgage lending today, so you'd be pitching a new business line</t>
        </is>
      </c>
    </row>
    <row r="52">
      <c r="A52" s="4" t="n">
        <v>48</v>
      </c>
      <c r="B52" s="4" t="inlineStr">
        <is>
          <t>Credit Union</t>
        </is>
      </c>
      <c r="C52" s="5">
        <f>'Credit Unions'!B38</f>
        <v/>
      </c>
      <c r="D52" s="5">
        <f>'Credit Unions'!C38</f>
        <v/>
      </c>
      <c r="E52" s="5">
        <f>'Credit Unions'!D38</f>
        <v/>
      </c>
      <c r="F52" s="6">
        <f>'Credit Unions'!E38</f>
        <v/>
      </c>
      <c r="G52" s="7">
        <f>'Credit Unions'!I38</f>
        <v/>
      </c>
      <c r="H52" s="7">
        <f>'Credit Unions'!J38</f>
        <v/>
      </c>
      <c r="I52" s="7">
        <f>'Credit Unions'!K38</f>
        <v/>
      </c>
      <c r="J52" s="7">
        <f>IF('Credit Unions'!U38="","n/a",'Credit Unions'!U38)</f>
        <v/>
      </c>
      <c r="K52" s="5">
        <f>'Credit Unions'!Y38</f>
        <v/>
      </c>
      <c r="L52" s="5">
        <f>'Credit Unions'!Z38</f>
        <v/>
      </c>
      <c r="M52" s="5">
        <f>'Credit Unions'!AA38</f>
        <v/>
      </c>
      <c r="N52" s="8" t="inlineStr">
        <is>
          <t>Lends out only 57% of deposits; 42% of assets in cash/securities</t>
        </is>
      </c>
    </row>
    <row r="53">
      <c r="A53" s="4" t="n">
        <v>49</v>
      </c>
      <c r="B53" s="4" t="inlineStr">
        <is>
          <t>Credit Union</t>
        </is>
      </c>
      <c r="C53" s="5">
        <f>'Credit Unions'!B37</f>
        <v/>
      </c>
      <c r="D53" s="5">
        <f>'Credit Unions'!C37</f>
        <v/>
      </c>
      <c r="E53" s="5">
        <f>'Credit Unions'!D37</f>
        <v/>
      </c>
      <c r="F53" s="6">
        <f>'Credit Unions'!E37</f>
        <v/>
      </c>
      <c r="G53" s="7">
        <f>'Credit Unions'!I37</f>
        <v/>
      </c>
      <c r="H53" s="7">
        <f>'Credit Unions'!J37</f>
        <v/>
      </c>
      <c r="I53" s="7">
        <f>'Credit Unions'!K37</f>
        <v/>
      </c>
      <c r="J53" s="7">
        <f>IF('Credit Unions'!U37="","n/a",'Credit Unions'!U37)</f>
        <v/>
      </c>
      <c r="K53" s="5">
        <f>'Credit Unions'!Y37</f>
        <v/>
      </c>
      <c r="L53" s="5">
        <f>'Credit Unions'!Z37</f>
        <v/>
      </c>
      <c r="M53" s="5">
        <f>'Credit Unions'!AA37</f>
        <v/>
      </c>
      <c r="N53" s="8" t="inlineStr">
        <is>
          <t>Lends out only 74% of deposits; keeps 100% of its mortgages (portfolio lender); already made 1 IO/balloon/non-amortizing loans</t>
        </is>
      </c>
    </row>
    <row r="54">
      <c r="A54" s="4" t="n">
        <v>50</v>
      </c>
      <c r="B54" s="4" t="inlineStr">
        <is>
          <t>Bank</t>
        </is>
      </c>
      <c r="C54" s="5">
        <f>'Banks'!B36</f>
        <v/>
      </c>
      <c r="D54" s="5">
        <f>'Banks'!C36</f>
        <v/>
      </c>
      <c r="E54" s="5">
        <f>'Banks'!D36</f>
        <v/>
      </c>
      <c r="F54" s="6">
        <f>'Banks'!F36</f>
        <v/>
      </c>
      <c r="G54" s="7">
        <f>'Banks'!J36</f>
        <v/>
      </c>
      <c r="H54" s="7">
        <f>'Banks'!K36</f>
        <v/>
      </c>
      <c r="I54" s="7">
        <f>'Banks'!L36</f>
        <v/>
      </c>
      <c r="J54" s="7">
        <f>IF('Banks'!T36="","n/a",'Banks'!T36)</f>
        <v/>
      </c>
      <c r="K54" s="5">
        <f>'Banks'!X36</f>
        <v/>
      </c>
      <c r="L54" s="5">
        <f>'Banks'!Y36</f>
        <v/>
      </c>
      <c r="M54" s="5">
        <f>'Banks'!Z36</f>
        <v/>
      </c>
      <c r="N54" s="8" t="inlineStr">
        <is>
          <t>Strong capital (13.0%); little or no mortgage lending today, so you'd be pitching a new business line</t>
        </is>
      </c>
    </row>
    <row r="55">
      <c r="A55" s="4" t="n">
        <v>51</v>
      </c>
      <c r="B55" s="4" t="inlineStr">
        <is>
          <t>Credit Union</t>
        </is>
      </c>
      <c r="C55" s="5">
        <f>'Credit Unions'!B26</f>
        <v/>
      </c>
      <c r="D55" s="5">
        <f>'Credit Unions'!C26</f>
        <v/>
      </c>
      <c r="E55" s="5">
        <f>'Credit Unions'!D26</f>
        <v/>
      </c>
      <c r="F55" s="6">
        <f>'Credit Unions'!E26</f>
        <v/>
      </c>
      <c r="G55" s="7">
        <f>'Credit Unions'!I26</f>
        <v/>
      </c>
      <c r="H55" s="7">
        <f>'Credit Unions'!J26</f>
        <v/>
      </c>
      <c r="I55" s="7">
        <f>'Credit Unions'!K26</f>
        <v/>
      </c>
      <c r="J55" s="7">
        <f>IF('Credit Unions'!U26="","n/a",'Credit Unions'!U26)</f>
        <v/>
      </c>
      <c r="K55" s="5">
        <f>'Credit Unions'!Y26</f>
        <v/>
      </c>
      <c r="L55" s="5">
        <f>'Credit Unions'!Z26</f>
        <v/>
      </c>
      <c r="M55" s="5">
        <f>'Credit Unions'!AA26</f>
        <v/>
      </c>
      <c r="N55" s="8" t="inlineStr">
        <is>
          <t>Lends out only 79% of deposits; keeps 100% of its mortgages (portfolio lender)</t>
        </is>
      </c>
    </row>
    <row r="56">
      <c r="A56" s="4" t="n">
        <v>52</v>
      </c>
      <c r="B56" s="4" t="inlineStr">
        <is>
          <t>Credit Union</t>
        </is>
      </c>
      <c r="C56" s="5">
        <f>'Credit Unions'!B31</f>
        <v/>
      </c>
      <c r="D56" s="5">
        <f>'Credit Unions'!C31</f>
        <v/>
      </c>
      <c r="E56" s="5">
        <f>'Credit Unions'!D31</f>
        <v/>
      </c>
      <c r="F56" s="6">
        <f>'Credit Unions'!E31</f>
        <v/>
      </c>
      <c r="G56" s="7">
        <f>'Credit Unions'!I31</f>
        <v/>
      </c>
      <c r="H56" s="7">
        <f>'Credit Unions'!J31</f>
        <v/>
      </c>
      <c r="I56" s="7">
        <f>'Credit Unions'!K31</f>
        <v/>
      </c>
      <c r="J56" s="7">
        <f>IF('Credit Unions'!U31="","n/a",'Credit Unions'!U31)</f>
        <v/>
      </c>
      <c r="K56" s="5">
        <f>'Credit Unions'!Y31</f>
        <v/>
      </c>
      <c r="L56" s="5">
        <f>'Credit Unions'!Z31</f>
        <v/>
      </c>
      <c r="M56" s="5">
        <f>'Credit Unions'!AA31</f>
        <v/>
      </c>
      <c r="N56" s="8" t="inlineStr">
        <is>
          <t>34% of assets in cash/securities; strong capital (20.7%); keeps 100% of its mortgages (portfolio lender)</t>
        </is>
      </c>
    </row>
    <row r="57">
      <c r="A57" s="4" t="n">
        <v>53</v>
      </c>
      <c r="B57" s="4" t="inlineStr">
        <is>
          <t>Credit Union</t>
        </is>
      </c>
      <c r="C57" s="5">
        <f>'Credit Unions'!B47</f>
        <v/>
      </c>
      <c r="D57" s="5">
        <f>'Credit Unions'!C47</f>
        <v/>
      </c>
      <c r="E57" s="5">
        <f>'Credit Unions'!D47</f>
        <v/>
      </c>
      <c r="F57" s="6">
        <f>'Credit Unions'!E47</f>
        <v/>
      </c>
      <c r="G57" s="7">
        <f>'Credit Unions'!I47</f>
        <v/>
      </c>
      <c r="H57" s="7">
        <f>'Credit Unions'!J47</f>
        <v/>
      </c>
      <c r="I57" s="7">
        <f>'Credit Unions'!K47</f>
        <v/>
      </c>
      <c r="J57" s="7">
        <f>IF('Credit Unions'!U47="","n/a",'Credit Unions'!U47)</f>
        <v/>
      </c>
      <c r="K57" s="5">
        <f>'Credit Unions'!Y47</f>
        <v/>
      </c>
      <c r="L57" s="5">
        <f>'Credit Unions'!Z47</f>
        <v/>
      </c>
      <c r="M57" s="5">
        <f>'Credit Unions'!AA47</f>
        <v/>
      </c>
      <c r="N57" s="8" t="inlineStr">
        <is>
          <t>Lends out only 57% of deposits; 45% of assets in cash/securities</t>
        </is>
      </c>
    </row>
    <row r="58">
      <c r="A58" s="4" t="n">
        <v>54</v>
      </c>
      <c r="B58" s="4" t="inlineStr">
        <is>
          <t>Credit Union</t>
        </is>
      </c>
      <c r="C58" s="5">
        <f>'Credit Unions'!B64</f>
        <v/>
      </c>
      <c r="D58" s="5">
        <f>'Credit Unions'!C64</f>
        <v/>
      </c>
      <c r="E58" s="5">
        <f>'Credit Unions'!D64</f>
        <v/>
      </c>
      <c r="F58" s="6">
        <f>'Credit Unions'!E64</f>
        <v/>
      </c>
      <c r="G58" s="7">
        <f>'Credit Unions'!I64</f>
        <v/>
      </c>
      <c r="H58" s="7">
        <f>'Credit Unions'!J64</f>
        <v/>
      </c>
      <c r="I58" s="7">
        <f>'Credit Unions'!K64</f>
        <v/>
      </c>
      <c r="J58" s="7">
        <f>IF('Credit Unions'!U64="","n/a",'Credit Unions'!U64)</f>
        <v/>
      </c>
      <c r="K58" s="5">
        <f>'Credit Unions'!Y64</f>
        <v/>
      </c>
      <c r="L58" s="5">
        <f>'Credit Unions'!Z64</f>
        <v/>
      </c>
      <c r="M58" s="5">
        <f>'Credit Unions'!AA64</f>
        <v/>
      </c>
      <c r="N58" s="8" t="inlineStr">
        <is>
          <t>Lends out only 67% of deposits; little or no mortgage lending today, so you'd be pitching a new business line</t>
        </is>
      </c>
    </row>
    <row r="59">
      <c r="A59" s="4" t="n">
        <v>55</v>
      </c>
      <c r="B59" s="4" t="inlineStr">
        <is>
          <t>Bank</t>
        </is>
      </c>
      <c r="C59" s="5">
        <f>'Banks'!B44</f>
        <v/>
      </c>
      <c r="D59" s="5">
        <f>'Banks'!C44</f>
        <v/>
      </c>
      <c r="E59" s="5">
        <f>'Banks'!D44</f>
        <v/>
      </c>
      <c r="F59" s="6">
        <f>'Banks'!F44</f>
        <v/>
      </c>
      <c r="G59" s="7">
        <f>'Banks'!J44</f>
        <v/>
      </c>
      <c r="H59" s="7">
        <f>'Banks'!K44</f>
        <v/>
      </c>
      <c r="I59" s="7">
        <f>'Banks'!L44</f>
        <v/>
      </c>
      <c r="J59" s="7">
        <f>IF('Banks'!T44="","n/a",'Banks'!T44)</f>
        <v/>
      </c>
      <c r="K59" s="5">
        <f>'Banks'!X44</f>
        <v/>
      </c>
      <c r="L59" s="5">
        <f>'Banks'!Y44</f>
        <v/>
      </c>
      <c r="M59" s="5">
        <f>'Banks'!Z44</f>
        <v/>
      </c>
      <c r="N59" s="8" t="inlineStr">
        <is>
          <t>CRE at 365% of capital (above the 300% regulatory guide) so resi would diversify; strong capital (18.3%); little or no mortgage lending today, so you'd be pitching a new business line</t>
        </is>
      </c>
    </row>
    <row r="60">
      <c r="A60" s="4" t="n">
        <v>56</v>
      </c>
      <c r="B60" s="4" t="inlineStr">
        <is>
          <t>Bank</t>
        </is>
      </c>
      <c r="C60" s="5">
        <f>'Banks'!B29</f>
        <v/>
      </c>
      <c r="D60" s="5">
        <f>'Banks'!C29</f>
        <v/>
      </c>
      <c r="E60" s="5">
        <f>'Banks'!D29</f>
        <v/>
      </c>
      <c r="F60" s="6">
        <f>'Banks'!F29</f>
        <v/>
      </c>
      <c r="G60" s="7">
        <f>'Banks'!J29</f>
        <v/>
      </c>
      <c r="H60" s="7">
        <f>'Banks'!K29</f>
        <v/>
      </c>
      <c r="I60" s="7">
        <f>'Banks'!L29</f>
        <v/>
      </c>
      <c r="J60" s="7">
        <f>IF('Banks'!T29="","n/a",'Banks'!T29)</f>
        <v/>
      </c>
      <c r="K60" s="5">
        <f>'Banks'!X29</f>
        <v/>
      </c>
      <c r="L60" s="5">
        <f>'Banks'!Y29</f>
        <v/>
      </c>
      <c r="M60" s="5">
        <f>'Banks'!Z29</f>
        <v/>
      </c>
      <c r="N60" s="8" t="inlineStr">
        <is>
          <t>Little or no mortgage lending today, so you'd be pitching a new business line</t>
        </is>
      </c>
    </row>
    <row r="61">
      <c r="A61" s="4" t="n">
        <v>57</v>
      </c>
      <c r="B61" s="4" t="inlineStr">
        <is>
          <t>Credit Union</t>
        </is>
      </c>
      <c r="C61" s="5">
        <f>'Credit Unions'!B53</f>
        <v/>
      </c>
      <c r="D61" s="5">
        <f>'Credit Unions'!C53</f>
        <v/>
      </c>
      <c r="E61" s="5">
        <f>'Credit Unions'!D53</f>
        <v/>
      </c>
      <c r="F61" s="6">
        <f>'Credit Unions'!E53</f>
        <v/>
      </c>
      <c r="G61" s="7">
        <f>'Credit Unions'!I53</f>
        <v/>
      </c>
      <c r="H61" s="7">
        <f>'Credit Unions'!J53</f>
        <v/>
      </c>
      <c r="I61" s="7">
        <f>'Credit Unions'!K53</f>
        <v/>
      </c>
      <c r="J61" s="7">
        <f>IF('Credit Unions'!U53="","n/a",'Credit Unions'!U53)</f>
        <v/>
      </c>
      <c r="K61" s="5">
        <f>'Credit Unions'!Y53</f>
        <v/>
      </c>
      <c r="L61" s="5">
        <f>'Credit Unions'!Z53</f>
        <v/>
      </c>
      <c r="M61" s="5">
        <f>'Credit Unions'!AA53</f>
        <v/>
      </c>
      <c r="N61" s="8" t="inlineStr">
        <is>
          <t>33% of assets in cash/securities; strong capital (29.4%); little or no mortgage lending today, so you'd be pitching a new business line</t>
        </is>
      </c>
    </row>
    <row r="62">
      <c r="A62" s="4" t="n">
        <v>58</v>
      </c>
      <c r="B62" s="4" t="inlineStr">
        <is>
          <t>Bank</t>
        </is>
      </c>
      <c r="C62" s="5">
        <f>'Banks'!B2</f>
        <v/>
      </c>
      <c r="D62" s="5">
        <f>'Banks'!C2</f>
        <v/>
      </c>
      <c r="E62" s="5">
        <f>'Banks'!D2</f>
        <v/>
      </c>
      <c r="F62" s="6">
        <f>'Banks'!F2</f>
        <v/>
      </c>
      <c r="G62" s="7">
        <f>'Banks'!J2</f>
        <v/>
      </c>
      <c r="H62" s="7">
        <f>'Banks'!K2</f>
        <v/>
      </c>
      <c r="I62" s="7">
        <f>'Banks'!L2</f>
        <v/>
      </c>
      <c r="J62" s="7">
        <f>IF('Banks'!T2="","n/a",'Banks'!T2)</f>
        <v/>
      </c>
      <c r="K62" s="5">
        <f>'Banks'!X2</f>
        <v/>
      </c>
      <c r="L62" s="5">
        <f>'Banks'!Y2</f>
        <v/>
      </c>
      <c r="M62" s="5">
        <f>'Banks'!Z2</f>
        <v/>
      </c>
      <c r="N62" s="8" t="inlineStr">
        <is>
          <t>CRE at 315% of capital (above the 300% regulatory guide) so resi would diversify; keeps 95% of its mortgages (portfolio lender)</t>
        </is>
      </c>
    </row>
    <row r="63">
      <c r="A63" s="4" t="n">
        <v>59</v>
      </c>
      <c r="B63" s="4" t="inlineStr">
        <is>
          <t>Credit Union</t>
        </is>
      </c>
      <c r="C63" s="5">
        <f>'Credit Unions'!B13</f>
        <v/>
      </c>
      <c r="D63" s="5">
        <f>'Credit Unions'!C13</f>
        <v/>
      </c>
      <c r="E63" s="5">
        <f>'Credit Unions'!D13</f>
        <v/>
      </c>
      <c r="F63" s="6">
        <f>'Credit Unions'!E13</f>
        <v/>
      </c>
      <c r="G63" s="7">
        <f>'Credit Unions'!I13</f>
        <v/>
      </c>
      <c r="H63" s="7">
        <f>'Credit Unions'!J13</f>
        <v/>
      </c>
      <c r="I63" s="7">
        <f>'Credit Unions'!K13</f>
        <v/>
      </c>
      <c r="J63" s="7">
        <f>IF('Credit Unions'!U13="","n/a",'Credit Unions'!U13)</f>
        <v/>
      </c>
      <c r="K63" s="5">
        <f>'Credit Unions'!Y13</f>
        <v/>
      </c>
      <c r="L63" s="5">
        <f>'Credit Unions'!Z13</f>
        <v/>
      </c>
      <c r="M63" s="5">
        <f>'Credit Unions'!AA13</f>
        <v/>
      </c>
      <c r="N63" s="8" t="inlineStr">
        <is>
          <t>Lends out only 75% of deposits; keeps 100% of its mortgages (portfolio lender); already made 3 IO/balloon/non-amortizing loans</t>
        </is>
      </c>
    </row>
    <row r="64">
      <c r="A64" s="4" t="n">
        <v>60</v>
      </c>
      <c r="B64" s="4" t="inlineStr">
        <is>
          <t>Bank</t>
        </is>
      </c>
      <c r="C64" s="5">
        <f>'Banks'!B14</f>
        <v/>
      </c>
      <c r="D64" s="5">
        <f>'Banks'!C14</f>
        <v/>
      </c>
      <c r="E64" s="5">
        <f>'Banks'!D14</f>
        <v/>
      </c>
      <c r="F64" s="6">
        <f>'Banks'!F14</f>
        <v/>
      </c>
      <c r="G64" s="7">
        <f>'Banks'!J14</f>
        <v/>
      </c>
      <c r="H64" s="7">
        <f>'Banks'!K14</f>
        <v/>
      </c>
      <c r="I64" s="7">
        <f>'Banks'!L14</f>
        <v/>
      </c>
      <c r="J64" s="7">
        <f>IF('Banks'!T14="","n/a",'Banks'!T14)</f>
        <v/>
      </c>
      <c r="K64" s="5">
        <f>'Banks'!X14</f>
        <v/>
      </c>
      <c r="L64" s="5">
        <f>'Banks'!Y14</f>
        <v/>
      </c>
      <c r="M64" s="5">
        <f>'Banks'!Z14</f>
        <v/>
      </c>
      <c r="N64" s="8" t="inlineStr">
        <is>
          <t>Strong capital (14.0%); little or no mortgage lending today, so you'd be pitching a new business line</t>
        </is>
      </c>
    </row>
    <row r="65">
      <c r="A65" s="4" t="n">
        <v>61</v>
      </c>
      <c r="B65" s="4" t="inlineStr">
        <is>
          <t>Bank</t>
        </is>
      </c>
      <c r="C65" s="5">
        <f>'Banks'!B38</f>
        <v/>
      </c>
      <c r="D65" s="5">
        <f>'Banks'!C38</f>
        <v/>
      </c>
      <c r="E65" s="5">
        <f>'Banks'!D38</f>
        <v/>
      </c>
      <c r="F65" s="6">
        <f>'Banks'!F38</f>
        <v/>
      </c>
      <c r="G65" s="7">
        <f>'Banks'!J38</f>
        <v/>
      </c>
      <c r="H65" s="7">
        <f>'Banks'!K38</f>
        <v/>
      </c>
      <c r="I65" s="7">
        <f>'Banks'!L38</f>
        <v/>
      </c>
      <c r="J65" s="7">
        <f>IF('Banks'!T38="","n/a",'Banks'!T38)</f>
        <v/>
      </c>
      <c r="K65" s="5">
        <f>'Banks'!X38</f>
        <v/>
      </c>
      <c r="L65" s="5">
        <f>'Banks'!Y38</f>
        <v/>
      </c>
      <c r="M65" s="5">
        <f>'Banks'!Z38</f>
        <v/>
      </c>
      <c r="N65" s="8" t="inlineStr">
        <is>
          <t>Deposits outgrowing loans; strong capital (22.8%); little or no mortgage lending today, so you'd be pitching a new business line</t>
        </is>
      </c>
    </row>
    <row r="66">
      <c r="A66" s="4" t="n">
        <v>62</v>
      </c>
      <c r="B66" s="4" t="inlineStr">
        <is>
          <t>Credit Union</t>
        </is>
      </c>
      <c r="C66" s="5">
        <f>'Credit Unions'!B33</f>
        <v/>
      </c>
      <c r="D66" s="5">
        <f>'Credit Unions'!C33</f>
        <v/>
      </c>
      <c r="E66" s="5">
        <f>'Credit Unions'!D33</f>
        <v/>
      </c>
      <c r="F66" s="6">
        <f>'Credit Unions'!E33</f>
        <v/>
      </c>
      <c r="G66" s="7">
        <f>'Credit Unions'!I33</f>
        <v/>
      </c>
      <c r="H66" s="7">
        <f>'Credit Unions'!J33</f>
        <v/>
      </c>
      <c r="I66" s="7">
        <f>'Credit Unions'!K33</f>
        <v/>
      </c>
      <c r="J66" s="7">
        <f>IF('Credit Unions'!U33="","n/a",'Credit Unions'!U33)</f>
        <v/>
      </c>
      <c r="K66" s="5">
        <f>'Credit Unions'!Y33</f>
        <v/>
      </c>
      <c r="L66" s="5">
        <f>'Credit Unions'!Z33</f>
        <v/>
      </c>
      <c r="M66" s="5">
        <f>'Credit Unions'!AA33</f>
        <v/>
      </c>
      <c r="N66" s="8" t="inlineStr">
        <is>
          <t>Little or no mortgage lending today, so you'd be pitching a new business line</t>
        </is>
      </c>
    </row>
    <row r="67">
      <c r="A67" s="4" t="n">
        <v>63</v>
      </c>
      <c r="B67" s="4" t="inlineStr">
        <is>
          <t>Credit Union</t>
        </is>
      </c>
      <c r="C67" s="5">
        <f>'Credit Unions'!B51</f>
        <v/>
      </c>
      <c r="D67" s="5">
        <f>'Credit Unions'!C51</f>
        <v/>
      </c>
      <c r="E67" s="5">
        <f>'Credit Unions'!D51</f>
        <v/>
      </c>
      <c r="F67" s="6">
        <f>'Credit Unions'!E51</f>
        <v/>
      </c>
      <c r="G67" s="7">
        <f>'Credit Unions'!I51</f>
        <v/>
      </c>
      <c r="H67" s="7">
        <f>'Credit Unions'!J51</f>
        <v/>
      </c>
      <c r="I67" s="7">
        <f>'Credit Unions'!K51</f>
        <v/>
      </c>
      <c r="J67" s="7">
        <f>IF('Credit Unions'!U51="","n/a",'Credit Unions'!U51)</f>
        <v/>
      </c>
      <c r="K67" s="5">
        <f>'Credit Unions'!Y51</f>
        <v/>
      </c>
      <c r="L67" s="5">
        <f>'Credit Unions'!Z51</f>
        <v/>
      </c>
      <c r="M67" s="5">
        <f>'Credit Unions'!AA51</f>
        <v/>
      </c>
      <c r="N67" s="8" t="inlineStr">
        <is>
          <t>Lends out only 69% of deposits; already made 21 IO/balloon/non-amortizing loans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 t="inlineStr">
        <is>
          <t>How to use this workbook</t>
        </is>
      </c>
    </row>
    <row r="2">
      <c r="A2" s="8" t="inlineStr">
        <is>
          <t>Top Targets: the short list. Tier 1 = strongest balance-sheet capacity and NOT already taking broker loans. Start there.</t>
        </is>
      </c>
    </row>
    <row r="3">
      <c r="A3" s="8" t="inlineStr">
        <is>
          <t>Banks / Credit Unions: full detail on every institution in scope. Filter by County, Tier or Wholesale status. Fill in the yellow CEO / contact and Notes columns as you research.</t>
        </is>
      </c>
    </row>
    <row r="4">
      <c r="A4" s="8" t="inlineStr">
        <is>
          <t>Scoring: the weights behind the capacity score. Change the blue numbers to re-rank everything.</t>
        </is>
      </c>
    </row>
    <row r="5">
      <c r="A5" s="8" t="inlineStr"/>
    </row>
    <row r="6">
      <c r="A6" s="9" t="inlineStr">
        <is>
          <t>What the columns mean</t>
        </is>
      </c>
    </row>
    <row r="7">
      <c r="A7" s="8" t="inlineStr">
        <is>
          <t>Loan-to-deposit (banks) / Loan-to-share (CUs): total loans divided by deposits. Under ~80% means deposits are sitting idle and earning less than a loan would.</t>
        </is>
      </c>
    </row>
    <row r="8">
      <c r="A8" s="8" t="inlineStr">
        <is>
          <t>Liquidity: cash plus investment securities as a share of assets. A high number = money available to redeploy into loans.</t>
        </is>
      </c>
    </row>
    <row r="9">
      <c r="A9" s="8" t="inlineStr">
        <is>
          <t>Capital ratio: Tier 1 leverage ratio (banks) or net worth ratio (CUs). 10%+ is comfortable; portfolio non-QM uses capital, so they need room.</t>
        </is>
      </c>
    </row>
    <row r="10">
      <c r="A10" s="8" t="inlineStr">
        <is>
          <t>CRE concentration: non-owner-occupied CRE + multifamily + construction loans divided by total risk-based capital. Regulators scrutinize banks above 300%; 1-4 family loans help them diversify.</t>
        </is>
      </c>
    </row>
    <row r="11">
      <c r="A11" s="8" t="inlineStr">
        <is>
          <t>% kept in portfolio: share of 2025 HMDA originations NOT sold the same year. High = they already hold mortgages on their books, which non-QM requires (or they sell to a non-QM investor).</t>
        </is>
      </c>
    </row>
    <row r="12">
      <c r="A12" s="8" t="inlineStr">
        <is>
          <t>Non-QM-feature loans: 2025 originations with interest-only, balloon, negative-amortization or other non-amortizing terms. These loans cannot be QM, so a count above zero means they already do some non-QM.</t>
        </is>
      </c>
    </row>
    <row r="13">
      <c r="A13" s="8" t="inlineStr">
        <is>
          <t>Broker-channel share: share of 2025 applications NOT submitted directly to the institution (HMDA "submission of application" = 2). This is the best public signal of an existing wholesale/broker channel.</t>
        </is>
      </c>
    </row>
    <row r="14">
      <c r="A14" s="8" t="inlineStr">
        <is>
          <t>Wholesale status: Retail only = 0% broker share. Already takes broker loans = 10%+. "Unknown" = small HMDA filers (under 500 loans/yr) are exempt from reporting the channel. "No HMDA mortgage reporting" = fewer than 25 closed-end mortgages a year, or not matched.</t>
        </is>
      </c>
    </row>
    <row r="15">
      <c r="A15" s="8" t="inlineStr"/>
    </row>
    <row r="16">
      <c r="A16" s="9" t="inlineStr">
        <is>
          <t>Sources</t>
        </is>
      </c>
    </row>
    <row r="17">
      <c r="A17" s="8" t="inlineStr">
        <is>
          <t>FDIC BankFind API (api.fdic.gov): Call Report data as of 6/30/2026 and 6/30/2025.</t>
        </is>
      </c>
    </row>
    <row r="18">
      <c r="A18" s="8" t="inlineStr">
        <is>
          <t>NCUA 5300 Call Report quarterly files (ncua.gov), June 2026 and June 2025.</t>
        </is>
      </c>
    </row>
    <row r="19">
      <c r="A19" s="8" t="inlineStr">
        <is>
          <t>CFPB/FFIEC HMDA 2025 public loan-level data (ffiec.cfpb.gov), all 1-4 family closed-end forward originations nationwide for each matched lender.</t>
        </is>
      </c>
    </row>
    <row r="20">
      <c r="A20" s="8" t="inlineStr"/>
    </row>
    <row r="21">
      <c r="A21" s="9" t="inlineStr">
        <is>
          <t>Caveats</t>
        </is>
      </c>
    </row>
    <row r="22">
      <c r="A22" s="8" t="inlineStr">
        <is>
          <t>HMDA has no "QM" flag. The non-QM-feature count only catches IO/balloon/non-amortizing loans; bank-statement, asset-depletion and high-DTI non-QM are not visible.</t>
        </is>
      </c>
    </row>
    <row r="23">
      <c r="A23" s="8" t="inlineStr">
        <is>
          <t>HMDA lenders were matched to banks/CUs by name and city. Spot-check anything that looks off. Partners FCU (Burbank) could not be matched.</t>
        </is>
      </c>
    </row>
    <row r="24">
      <c r="A24" s="8" t="inlineStr">
        <is>
          <t>Credit union YoY growth is blank where a merger changed the charter number.</t>
        </is>
      </c>
    </row>
    <row r="25">
      <c r="A25" s="8" t="inlineStr">
        <is>
          <t>These numbers show capacity, not appetite. A bank with excess liquidity may still have a board that does not want mortgage risk. Use this list to decide who to call first.</t>
        </is>
      </c>
    </row>
    <row r="26">
      <c r="A26" s="8" t="inlineStr">
        <is>
          <t>CEO names are not in the regulatory files. Bank websites are included; check the institution's leadership page or NMLS Consumer Access.</t>
        </is>
      </c>
    </row>
    <row r="27">
      <c r="A27" s="8" t="inlineStr"/>
    </row>
    <row r="28">
      <c r="A28" s="9" t="inlineStr">
        <is>
          <t>Excluded from scoring</t>
        </is>
      </c>
    </row>
    <row r="29">
      <c r="A29" s="10" t="inlineStr">
        <is>
          <t>City National Bank (Bank, $99,103M): Over $10B in assets (not a "smaller" institution)</t>
        </is>
      </c>
    </row>
    <row r="30">
      <c r="A30" s="10" t="inlineStr">
        <is>
          <t>East West Bank (Bank, $84,319M): Over $10B in assets (not a "smaller" institution)</t>
        </is>
      </c>
    </row>
    <row r="31">
      <c r="A31" s="10" t="inlineStr">
        <is>
          <t>Schoolsfirst CU (Credit Union, $37,231M): Over $10B in assets (not a "smaller" institution)</t>
        </is>
      </c>
    </row>
    <row r="32">
      <c r="A32" s="10" t="inlineStr">
        <is>
          <t>Banc of California (Bank, $34,899M): Over $10B in assets (not a "smaller" institution)</t>
        </is>
      </c>
    </row>
    <row r="33">
      <c r="A33" s="10" t="inlineStr">
        <is>
          <t>Cathay Bank (Bank, $24,641M): Over $10B in assets (not a "smaller" institution)</t>
        </is>
      </c>
    </row>
    <row r="34">
      <c r="A34" s="10" t="inlineStr">
        <is>
          <t>Citizens Business Bank, National Association (Bank, $21,183M): Over $10B in assets (not a "smaller" institution)</t>
        </is>
      </c>
    </row>
    <row r="35">
      <c r="A35" s="10" t="inlineStr">
        <is>
          <t>Bank of Hope (Bank, $18,987M): Over $10B in assets (not a "smaller" institution)</t>
        </is>
      </c>
    </row>
    <row r="36">
      <c r="A36" s="10" t="inlineStr">
        <is>
          <t>Farmers and Merchants Bank of Long Beach (Bank, $11,770M): Over $10B in assets (not a "smaller" institution)</t>
        </is>
      </c>
    </row>
    <row r="37">
      <c r="A37" s="10" t="inlineStr">
        <is>
          <t>First American Trust, FSB (Bank, $9,230M): Trust/escrow thrift, essentially no loans</t>
        </is>
      </c>
    </row>
    <row r="38">
      <c r="A38" s="10" t="inlineStr">
        <is>
          <t>Mizrahi Tefahot Bank, Ltd. (Bank, $7,390M): Foreign-owned bank, capital not reported comparably</t>
        </is>
      </c>
    </row>
    <row r="39">
      <c r="A39" s="10" t="inlineStr">
        <is>
          <t>The Bank of New York Mellon Trust Company, National Association (Bank, $1,373M): Trust company, no lending</t>
        </is>
      </c>
    </row>
    <row r="40">
      <c r="A40" s="10" t="inlineStr">
        <is>
          <t>Capital Bank and Trust Company (Bank, $266M): Trust company, no lending</t>
        </is>
      </c>
    </row>
    <row r="41">
      <c r="A41" s="10" t="inlineStr">
        <is>
          <t>Va Desert Pacific CU (Credit Union, $99M): Under $100M in assets (too small to fund a wholesale channel)</t>
        </is>
      </c>
    </row>
    <row r="42">
      <c r="A42" s="10" t="inlineStr">
        <is>
          <t>Union Yes CU (Credit Union, $89M): Under $100M in assets (too small to fund a wholesale channel)</t>
        </is>
      </c>
    </row>
    <row r="43">
      <c r="A43" s="10" t="inlineStr">
        <is>
          <t>Tustin Community Bank (Bank, $87M): Under $100M in assets (too small to fund a wholesale channel)</t>
        </is>
      </c>
    </row>
    <row r="44">
      <c r="A44" s="10" t="inlineStr">
        <is>
          <t>Calcom CU (Credit Union, $84M): Under $100M in assets (too small to fund a wholesale channel)</t>
        </is>
      </c>
    </row>
    <row r="45">
      <c r="A45" s="10" t="inlineStr">
        <is>
          <t>Technicolor CU (Credit Union, $83M): Under $100M in assets (too small to fund a wholesale channel)</t>
        </is>
      </c>
    </row>
    <row r="46">
      <c r="A46" s="10" t="inlineStr">
        <is>
          <t>Nikkei CU (Credit Union, $82M): Under $100M in assets (too small to fund a wholesale channel)</t>
        </is>
      </c>
    </row>
    <row r="47">
      <c r="A47" s="10" t="inlineStr">
        <is>
          <t>Cal State L.a. CU (Credit Union, $80M): Under $100M in assets (too small to fund a wholesale channel)</t>
        </is>
      </c>
    </row>
    <row r="48">
      <c r="A48" s="10" t="inlineStr">
        <is>
          <t>Postcity Financial CU (Credit Union, $79M): Under $100M in assets (too small to fund a wholesale channel)</t>
        </is>
      </c>
    </row>
    <row r="49">
      <c r="A49" s="10" t="inlineStr">
        <is>
          <t>Olive View Employees CU (Credit Union, $75M): Under $100M in assets (too small to fund a wholesale channel)</t>
        </is>
      </c>
    </row>
    <row r="50">
      <c r="A50" s="10" t="inlineStr">
        <is>
          <t>Polam CU (Credit Union, $73M): Under $100M in assets (too small to fund a wholesale channel)</t>
        </is>
      </c>
    </row>
    <row r="51">
      <c r="A51" s="10" t="inlineStr">
        <is>
          <t>Universal City Studios CU (Credit Union, $72M): Under $100M in assets (too small to fund a wholesale channel)</t>
        </is>
      </c>
    </row>
    <row r="52">
      <c r="A52" s="10" t="inlineStr">
        <is>
          <t>Parishioners CU (Credit Union, $70M): Under $100M in assets (too small to fund a wholesale channel)</t>
        </is>
      </c>
    </row>
    <row r="53">
      <c r="A53" s="10" t="inlineStr">
        <is>
          <t>Bopti CU (Credit Union, $63M): Under $100M in assets (too small to fund a wholesale channel)</t>
        </is>
      </c>
    </row>
    <row r="54">
      <c r="A54" s="10" t="inlineStr">
        <is>
          <t>Asian Pacific National Bank (Bank, $57M): Under $100M in assets (too small to fund a wholesale channel)</t>
        </is>
      </c>
    </row>
    <row r="55">
      <c r="A55" s="10" t="inlineStr">
        <is>
          <t>Huntington Beach CU (Credit Union, $56M): Under $100M in assets (too small to fund a wholesale channel)</t>
        </is>
      </c>
    </row>
    <row r="56">
      <c r="A56" s="10" t="inlineStr">
        <is>
          <t>L. A. Electrical Workers Credit Un. CU (Credit Union, $55M): Under $100M in assets (too small to fund a wholesale channel)</t>
        </is>
      </c>
    </row>
    <row r="57">
      <c r="A57" s="10" t="inlineStr">
        <is>
          <t>Jacom CU (Credit Union, $54M): Under $100M in assets (too small to fund a wholesale channel)</t>
        </is>
      </c>
    </row>
    <row r="58">
      <c r="A58" s="10" t="inlineStr">
        <is>
          <t>Inland Valley CU (Credit Union, $54M): Under $100M in assets (too small to fund a wholesale channel)</t>
        </is>
      </c>
    </row>
    <row r="59">
      <c r="A59" s="10" t="inlineStr">
        <is>
          <t>U.p.s. Employees CU (Credit Union, $52M): Under $100M in assets (too small to fund a wholesale channel)</t>
        </is>
      </c>
    </row>
    <row r="60">
      <c r="A60" s="10" t="inlineStr">
        <is>
          <t>United Catholics CU (Credit Union, $49M): Under $100M in assets (too small to fund a wholesale channel)</t>
        </is>
      </c>
    </row>
    <row r="61">
      <c r="A61" s="10" t="inlineStr">
        <is>
          <t>California Adventist CU (Credit Union, $45M): Under $100M in assets (too small to fund a wholesale channel)</t>
        </is>
      </c>
    </row>
    <row r="62">
      <c r="A62" s="10" t="inlineStr">
        <is>
          <t>Media City CU (Credit Union, $39M): Under $100M in assets (too small to fund a wholesale channel)</t>
        </is>
      </c>
    </row>
    <row r="63">
      <c r="A63" s="10" t="inlineStr">
        <is>
          <t>Fox CU (Credit Union, $37M): Under $100M in assets (too small to fund a wholesale channel)</t>
        </is>
      </c>
    </row>
    <row r="64">
      <c r="A64" s="10" t="inlineStr">
        <is>
          <t>El Monte Community CU (Credit Union, $34M): Under $100M in assets (too small to fund a wholesale channel)</t>
        </is>
      </c>
    </row>
    <row r="65">
      <c r="A65" s="10" t="inlineStr">
        <is>
          <t>Hanin CU (Credit Union, $32M): Under $100M in assets (too small to fund a wholesale channel)</t>
        </is>
      </c>
    </row>
    <row r="66">
      <c r="A66" s="10" t="inlineStr">
        <is>
          <t>Capstone CU (Credit Union, $32M): Under $100M in assets (too small to fund a wholesale channel)</t>
        </is>
      </c>
    </row>
    <row r="67">
      <c r="A67" s="10" t="inlineStr">
        <is>
          <t>Mattel CU (Credit Union, $28M): Under $100M in assets (too small to fund a wholesale channel)</t>
        </is>
      </c>
    </row>
    <row r="68">
      <c r="A68" s="10" t="inlineStr">
        <is>
          <t>Center City Community CU (Credit Union, $26M): Under $100M in assets (too small to fund a wholesale channel)</t>
        </is>
      </c>
    </row>
    <row r="69">
      <c r="A69" s="10" t="inlineStr">
        <is>
          <t>Ontario Public Employees CU (Credit Union, $23M): Under $100M in assets (too small to fund a wholesale channel)</t>
        </is>
      </c>
    </row>
    <row r="70">
      <c r="A70" s="10" t="inlineStr">
        <is>
          <t>Novo CU (Credit Union, $21M): Under $100M in assets (too small to fund a wholesale channel)</t>
        </is>
      </c>
    </row>
    <row r="71">
      <c r="A71" s="10" t="inlineStr">
        <is>
          <t>Fontana CU (Credit Union, $17M): Under $100M in assets (too small to fund a wholesale channel)</t>
        </is>
      </c>
    </row>
    <row r="72">
      <c r="A72" s="10" t="inlineStr">
        <is>
          <t>Mid-cities CU (Credit Union, $16M): Under $100M in assets (too small to fund a wholesale channel)</t>
        </is>
      </c>
    </row>
    <row r="73">
      <c r="A73" s="10" t="inlineStr">
        <is>
          <t>L.a. Healthcare CU (Credit Union, $15M): Under $100M in assets (too small to fund a wholesale channel)</t>
        </is>
      </c>
    </row>
    <row r="74">
      <c r="A74" s="10" t="inlineStr">
        <is>
          <t>Comunidad Latina CU (Credit Union, $11M): Under $100M in assets (too small to fund a wholesale channel)</t>
        </is>
      </c>
    </row>
    <row r="75">
      <c r="A75" s="10" t="inlineStr">
        <is>
          <t>Redlands City Employees CU (Credit Union, $10M): Under $100M in assets (too small to fund a wholesale channel)</t>
        </is>
      </c>
    </row>
    <row r="76">
      <c r="A76" s="10" t="inlineStr">
        <is>
          <t>L. A. Mission CU (Credit Union, $9M): Under $100M in assets (too small to fund a wholesale channel)</t>
        </is>
      </c>
    </row>
    <row r="77">
      <c r="A77" s="10" t="inlineStr">
        <is>
          <t>Episcopal Community CU (Credit Union, $7M): Under $100M in assets (too small to fund a wholesale channel)</t>
        </is>
      </c>
    </row>
    <row r="78">
      <c r="A78" s="10" t="inlineStr">
        <is>
          <t>Sunkist Employees CU (Credit Union, $4M): Under $100M in assets (too small to fund a wholesale channel)</t>
        </is>
      </c>
    </row>
    <row r="79">
      <c r="A79" s="10" t="inlineStr">
        <is>
          <t>U.s.b. Employees CU (Credit Union, $3M): Under $100M in assets (too small to fund a wholesale channel)</t>
        </is>
      </c>
    </row>
    <row r="80">
      <c r="A80" s="10" t="inlineStr">
        <is>
          <t>Columbus Club CU (Credit Union, $3M): Under $100M in assets (too small to fund a wholesale channel)</t>
        </is>
      </c>
    </row>
    <row r="81">
      <c r="A81" s="10" t="inlineStr">
        <is>
          <t>Fountain Valley CU (Credit Union, $2M): Under $100M in assets (too small to fund a wholesale channel)</t>
        </is>
      </c>
    </row>
    <row r="82">
      <c r="A82" s="10" t="inlineStr">
        <is>
          <t>Maryknoll of L A CU (Credit Union, $1M): Under $100M in assets (too small to fund a wholesale channel)</t>
        </is>
      </c>
    </row>
    <row r="83">
      <c r="A83" s="10" t="inlineStr">
        <is>
          <t>Los Angeles Lee CU (Credit Union, $1M): Under $100M in assets (too small to fund a wholesale channel)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11" t="inlineStr">
        <is>
          <t>Capacity score settings (edit the blue numbers; every score recalculates)</t>
        </is>
      </c>
      <c r="B1" s="12" t="n"/>
      <c r="C1" s="12" t="n"/>
      <c r="D1" s="12" t="n"/>
    </row>
    <row r="2">
      <c r="A2" s="12" t="n"/>
      <c r="B2" s="12" t="n"/>
      <c r="C2" s="12" t="n"/>
      <c r="D2" s="12" t="n"/>
    </row>
    <row r="3">
      <c r="A3" s="13" t="inlineStr">
        <is>
          <t>Bank weights</t>
        </is>
      </c>
      <c r="B3" s="12" t="n"/>
      <c r="C3" s="13" t="inlineStr">
        <is>
          <t>Total</t>
        </is>
      </c>
      <c r="D3" s="14">
        <f>SUM(B4:B9)</f>
        <v/>
      </c>
    </row>
    <row r="4">
      <c r="A4" s="10" t="inlineStr">
        <is>
          <t>Low loan-to-deposit ratio</t>
        </is>
      </c>
      <c r="B4" s="15" t="n">
        <v>0.3</v>
      </c>
      <c r="C4" s="12" t="n"/>
      <c r="D4" s="12" t="n"/>
    </row>
    <row r="5">
      <c r="A5" s="10" t="inlineStr">
        <is>
          <t>High liquidity (cash + securities / assets)</t>
        </is>
      </c>
      <c r="B5" s="15" t="n">
        <v>0.2</v>
      </c>
      <c r="C5" s="12" t="n"/>
      <c r="D5" s="12" t="n"/>
    </row>
    <row r="6">
      <c r="A6" s="10" t="inlineStr">
        <is>
          <t>Strong capital (leverage ratio)</t>
        </is>
      </c>
      <c r="B6" s="15" t="n">
        <v>0.15</v>
      </c>
      <c r="C6" s="12" t="n"/>
      <c r="D6" s="12" t="n"/>
    </row>
    <row r="7">
      <c r="A7" s="10" t="inlineStr">
        <is>
          <t>Deposits growing faster than loans</t>
        </is>
      </c>
      <c r="B7" s="15" t="n">
        <v>0.1</v>
      </c>
      <c r="C7" s="12" t="n"/>
      <c r="D7" s="12" t="n"/>
    </row>
    <row r="8">
      <c r="A8" s="10" t="inlineStr">
        <is>
          <t>High CRE concentration (needs to diversify)</t>
        </is>
      </c>
      <c r="B8" s="15" t="n">
        <v>0.15</v>
      </c>
      <c r="C8" s="12" t="n"/>
      <c r="D8" s="12" t="n"/>
    </row>
    <row r="9">
      <c r="A9" s="10" t="inlineStr">
        <is>
          <t>Low 1-4 family share of loans (room to add)</t>
        </is>
      </c>
      <c r="B9" s="15" t="n">
        <v>0.1</v>
      </c>
      <c r="C9" s="12" t="n"/>
      <c r="D9" s="12" t="n"/>
    </row>
    <row r="10">
      <c r="A10" s="13" t="inlineStr">
        <is>
          <t>Credit union weights</t>
        </is>
      </c>
      <c r="B10" s="12" t="n"/>
      <c r="C10" s="13" t="inlineStr">
        <is>
          <t>Total</t>
        </is>
      </c>
      <c r="D10" s="14">
        <f>SUM(B11:B16)</f>
        <v/>
      </c>
    </row>
    <row r="11">
      <c r="A11" s="10" t="inlineStr">
        <is>
          <t>Low loan-to-share ratio</t>
        </is>
      </c>
      <c r="B11" s="15" t="n">
        <v>0.3</v>
      </c>
      <c r="C11" s="12" t="n"/>
      <c r="D11" s="12" t="n"/>
    </row>
    <row r="12">
      <c r="A12" s="10" t="inlineStr">
        <is>
          <t>High liquidity (cash + investments / assets)</t>
        </is>
      </c>
      <c r="B12" s="15" t="n">
        <v>0.2</v>
      </c>
      <c r="C12" s="12" t="n"/>
      <c r="D12" s="12" t="n"/>
    </row>
    <row r="13">
      <c r="A13" s="10" t="inlineStr">
        <is>
          <t>Strong net worth ratio</t>
        </is>
      </c>
      <c r="B13" s="15" t="n">
        <v>0.15</v>
      </c>
      <c r="C13" s="12" t="n"/>
      <c r="D13" s="12" t="n"/>
    </row>
    <row r="14">
      <c r="A14" s="10" t="inlineStr">
        <is>
          <t>Shares growing faster than loans</t>
        </is>
      </c>
      <c r="B14" s="15" t="n">
        <v>0.1</v>
      </c>
      <c r="C14" s="12" t="n"/>
      <c r="D14" s="12" t="n"/>
    </row>
    <row r="15">
      <c r="A15" s="10" t="inlineStr">
        <is>
          <t>Low mortgage originations vs. assets</t>
        </is>
      </c>
      <c r="B15" s="15" t="n">
        <v>0.15</v>
      </c>
      <c r="C15" s="12" t="n"/>
      <c r="D15" s="12" t="n"/>
    </row>
    <row r="16">
      <c r="A16" s="10" t="inlineStr">
        <is>
          <t>Low 1st-mortgage share of loans (room to add)</t>
        </is>
      </c>
      <c r="B16" s="15" t="n">
        <v>0.1</v>
      </c>
      <c r="C16" s="12" t="n"/>
      <c r="D16" s="12" t="n"/>
    </row>
    <row r="17">
      <c r="A17" s="13" t="inlineStr">
        <is>
          <t>Tier cutoffs</t>
        </is>
      </c>
      <c r="B17" s="12" t="n"/>
      <c r="C17" s="12" t="n"/>
      <c r="D17" s="12" t="n"/>
    </row>
    <row r="18">
      <c r="A18" s="10" t="inlineStr">
        <is>
          <t>Tier 1 minimum score</t>
        </is>
      </c>
      <c r="B18" s="16" t="n">
        <v>60</v>
      </c>
      <c r="C18" s="12" t="n"/>
      <c r="D18" s="12" t="n"/>
    </row>
    <row r="19">
      <c r="A19" s="10" t="inlineStr">
        <is>
          <t>Tier 2 minimum score</t>
        </is>
      </c>
      <c r="B19" s="16" t="n">
        <v>45</v>
      </c>
      <c r="C19" s="12" t="n"/>
      <c r="D19" s="12" t="n"/>
    </row>
    <row r="20">
      <c r="A20" s="10" t="inlineStr">
        <is>
          <t>Tier 1 minimum total assets ($M)</t>
        </is>
      </c>
      <c r="B20" s="16" t="n">
        <v>300</v>
      </c>
      <c r="C20" s="12" t="n"/>
      <c r="D20" s="12" t="n"/>
    </row>
    <row r="21">
      <c r="A21" s="12" t="n"/>
      <c r="B21" s="12" t="n"/>
      <c r="C21" s="12" t="n"/>
      <c r="D21" s="12" t="n"/>
    </row>
    <row r="22">
      <c r="A22" s="13" t="inlineStr">
        <is>
          <t>How the score works</t>
        </is>
      </c>
      <c r="B22" s="12" t="n"/>
      <c r="C22" s="12" t="n"/>
      <c r="D22" s="12" t="n"/>
    </row>
    <row r="23">
      <c r="A23" s="10" t="inlineStr">
        <is>
          <t>Each institution is ranked against its peers on each factor (0% = worst in group, 100% = best), banks against banks, credit unions against credit unions.</t>
        </is>
      </c>
      <c r="B23" s="12" t="n"/>
      <c r="C23" s="12" t="n"/>
      <c r="D23" s="12" t="n"/>
    </row>
    <row r="24">
      <c r="A24" s="10" t="inlineStr">
        <is>
          <t>The score is the weighted average of those ranks, times 100. Higher means more balance-sheet room to add mortgages.</t>
        </is>
      </c>
      <c r="B24" s="12" t="n"/>
      <c r="C24" s="12" t="n"/>
      <c r="D24" s="12" t="n"/>
    </row>
    <row r="25">
      <c r="A25" s="10" t="inlineStr">
        <is>
          <t>Tier 1 = score at or above the Tier 1 cutoff AND assets at or above the Tier 1 size floor AND not already taking broker loans. The size floor exists because a very small institution rarely has the staff or balance sheet to support a wholesale channel. Tier 2 = score at or above the Tier 2 cutoff. Everything else is Tier 3.</t>
        </is>
      </c>
      <c r="B25" s="12" t="n"/>
      <c r="C25" s="12" t="n"/>
      <c r="D25" s="12" t="n"/>
    </row>
    <row r="26">
      <c r="A26" s="10" t="inlineStr">
        <is>
          <t>A blank input (e.g., missing prior-year data after a merger) is treated as middle-of-the-pack (50%).</t>
        </is>
      </c>
      <c r="B26" s="12" t="n"/>
      <c r="C26" s="12" t="n"/>
      <c r="D26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0" customWidth="1" min="1" max="1"/>
    <col width="34" customWidth="1" min="2" max="2"/>
    <col width="16" customWidth="1" min="3" max="3"/>
    <col width="14" customWidth="1" min="4" max="4"/>
    <col width="22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  <col width="11" customWidth="1" min="11" max="11"/>
    <col width="10" customWidth="1" min="12" max="12"/>
    <col width="9" customWidth="1" min="13" max="13"/>
    <col width="12" customWidth="1" min="14" max="14"/>
    <col width="9" customWidth="1" min="15" max="15"/>
    <col width="9" customWidth="1" min="16" max="16"/>
    <col width="10" customWidth="1" min="17" max="17"/>
    <col width="10" customWidth="1" min="18" max="18"/>
    <col width="10" customWidth="1" min="19" max="19"/>
    <col width="9" customWidth="1" min="20" max="20"/>
    <col width="12" customWidth="1" min="21" max="21"/>
    <col width="11" customWidth="1" min="22" max="22"/>
    <col width="9" customWidth="1" min="23" max="23"/>
    <col width="26" customWidth="1" min="24" max="24"/>
    <col width="9" customWidth="1" min="25" max="25"/>
    <col width="8" customWidth="1" min="26" max="26"/>
    <col width="22" customWidth="1" min="27" max="27"/>
    <col width="30" customWidth="1" min="28" max="28"/>
  </cols>
  <sheetData>
    <row r="1" ht="58" customHeight="1">
      <c r="A1" s="3" t="inlineStr">
        <is>
          <t>Key</t>
        </is>
      </c>
      <c r="B1" s="3" t="inlineStr">
        <is>
          <t>Institution</t>
        </is>
      </c>
      <c r="C1" s="3" t="inlineStr">
        <is>
          <t>City</t>
        </is>
      </c>
      <c r="D1" s="3" t="inlineStr">
        <is>
          <t>County</t>
        </is>
      </c>
      <c r="E1" s="3" t="inlineStr">
        <is>
          <t>Website</t>
        </is>
      </c>
      <c r="F1" s="3" t="inlineStr">
        <is>
          <t>Total assets ($M)</t>
        </is>
      </c>
      <c r="G1" s="3" t="inlineStr">
        <is>
          <t>Deposits ($M)</t>
        </is>
      </c>
      <c r="H1" s="3" t="inlineStr">
        <is>
          <t>Total loans ($M)</t>
        </is>
      </c>
      <c r="I1" s="3" t="inlineStr">
        <is>
          <t>1-4 family resi loans ($M)</t>
        </is>
      </c>
      <c r="J1" s="3" t="inlineStr">
        <is>
          <t>Loan-to-deposit</t>
        </is>
      </c>
      <c r="K1" s="3" t="inlineStr">
        <is>
          <t>Liquidity (cash+sec / assets)</t>
        </is>
      </c>
      <c r="L1" s="3" t="inlineStr">
        <is>
          <t>Leverage capital ratio</t>
        </is>
      </c>
      <c r="M1" s="3" t="inlineStr">
        <is>
          <t>Resi % of loans</t>
        </is>
      </c>
      <c r="N1" s="3" t="inlineStr">
        <is>
          <t>CRE concentration (% of capital)</t>
        </is>
      </c>
      <c r="O1" s="3" t="inlineStr">
        <is>
          <t>Deposit growth YoY</t>
        </is>
      </c>
      <c r="P1" s="3" t="inlineStr">
        <is>
          <t>Loan growth YoY</t>
        </is>
      </c>
      <c r="Q1" s="3" t="inlineStr">
        <is>
          <t>Funding gap (dep g - loan g)</t>
        </is>
      </c>
      <c r="R1" s="3" t="inlineStr">
        <is>
          <t>HMDA 2025 originations (#)</t>
        </is>
      </c>
      <c r="S1" s="3" t="inlineStr">
        <is>
          <t>HMDA 2025 volume ($M)</t>
        </is>
      </c>
      <c r="T1" s="3" t="inlineStr">
        <is>
          <t>% kept in portfolio</t>
        </is>
      </c>
      <c r="U1" s="3" t="inlineStr">
        <is>
          <t>Non-QM-feature loans (IO/balloon/non-amort.)</t>
        </is>
      </c>
      <c r="V1" s="3" t="inlineStr">
        <is>
          <t>Investor / business-purpose loans</t>
        </is>
      </c>
      <c r="W1" s="3" t="inlineStr">
        <is>
          <t>Broker-channel share</t>
        </is>
      </c>
      <c r="X1" s="3" t="inlineStr">
        <is>
          <t>Wholesale status</t>
        </is>
      </c>
      <c r="Y1" s="3" t="inlineStr">
        <is>
          <t>Capacity score</t>
        </is>
      </c>
      <c r="Z1" s="3" t="inlineStr">
        <is>
          <t>Tier</t>
        </is>
      </c>
      <c r="AA1" s="3" t="inlineStr">
        <is>
          <t>CEO / contact (fill in)</t>
        </is>
      </c>
      <c r="AB1" s="3" t="inlineStr">
        <is>
          <t>Notes (fill in)</t>
        </is>
      </c>
    </row>
    <row r="2">
      <c r="A2" s="10" t="inlineStr">
        <is>
          <t>bank:24170</t>
        </is>
      </c>
      <c r="B2" s="10" t="inlineStr">
        <is>
          <t>Hanmi Bank</t>
        </is>
      </c>
      <c r="C2" s="10" t="inlineStr">
        <is>
          <t>Los Angeles</t>
        </is>
      </c>
      <c r="D2" s="10" t="inlineStr">
        <is>
          <t>Los Angeles</t>
        </is>
      </c>
      <c r="E2" s="10" t="inlineStr">
        <is>
          <t>www.hanmi.com</t>
        </is>
      </c>
      <c r="F2" s="17" t="n">
        <v>7954.215</v>
      </c>
      <c r="G2" s="17" t="n">
        <v>6963.809</v>
      </c>
      <c r="H2" s="17" t="n">
        <v>6552.281</v>
      </c>
      <c r="I2" s="17" t="n">
        <v>1006.667</v>
      </c>
      <c r="J2" s="18">
        <f>IF(G2=0,"",H2/G2)</f>
        <v/>
      </c>
      <c r="K2" s="19" t="n">
        <v>0.148525781613899</v>
      </c>
      <c r="L2" s="19" t="n">
        <v>0.1170784267089703</v>
      </c>
      <c r="M2" s="18">
        <f>IF(H2=0,"",I2/H2)</f>
        <v/>
      </c>
      <c r="N2" s="19" t="n">
        <v>3.1541174453302</v>
      </c>
      <c r="O2" s="19" t="n">
        <v>0.03350509420381265</v>
      </c>
      <c r="P2" s="19" t="n">
        <v>0.03095144776225323</v>
      </c>
      <c r="Q2" s="18">
        <f>IF(OR(O2="",P2=""),"",O2-P2)</f>
        <v/>
      </c>
      <c r="R2" s="17" t="n">
        <v>73</v>
      </c>
      <c r="S2" s="17" t="n">
        <v>56.465</v>
      </c>
      <c r="T2" s="19" t="n">
        <v>0.9452054794520548</v>
      </c>
      <c r="U2" s="20" t="n"/>
      <c r="V2" s="17" t="n">
        <v>39</v>
      </c>
      <c r="W2" s="18" t="n"/>
      <c r="X2" s="10" t="inlineStr">
        <is>
          <t>Unknown (small filer, channel not reported)</t>
        </is>
      </c>
      <c r="Y2" s="20">
        <f>ROUND(100*(Scoring!$B$4*(1-IFERROR(PERCENTRANK($J$2:$J$46,J2),0.5))+Scoring!$B$5*IFERROR(PERCENTRANK($K$2:$K$46,K2),0.5)+Scoring!$B$6*IFERROR(PERCENTRANK($L$2:$L$46,L2),0.5)+Scoring!$B$7*IFERROR(PERCENTRANK($Q$2:$Q$46,Q2),0.5)+Scoring!$B$8*IFERROR(PERCENTRANK($N$2:$N$46,N2),0.5)+Scoring!$B$9*(1-IFERROR(PERCENTRANK($M$2:$M$46,M2),0.5))),0)</f>
        <v/>
      </c>
      <c r="Z2" s="10">
        <f>IF(AND(Y2&gt;=Scoring!$B$18,F2&gt;=Scoring!$B$20,X2&lt;&gt;"Already takes broker loans"),"Tier 1",IF(Y2&gt;=Scoring!$B$19,"Tier 2","Tier 3"))</f>
        <v/>
      </c>
      <c r="AA2" s="21" t="n"/>
      <c r="AB2" s="21" t="n"/>
    </row>
    <row r="3">
      <c r="A3" s="10" t="inlineStr">
        <is>
          <t>bank:33539</t>
        </is>
      </c>
      <c r="B3" s="10" t="inlineStr">
        <is>
          <t>Preferred Bank</t>
        </is>
      </c>
      <c r="C3" s="10" t="inlineStr">
        <is>
          <t>Los Angeles</t>
        </is>
      </c>
      <c r="D3" s="10" t="inlineStr">
        <is>
          <t>Los Angeles</t>
        </is>
      </c>
      <c r="E3" s="10" t="inlineStr">
        <is>
          <t>www.preferredbank.com</t>
        </is>
      </c>
      <c r="F3" s="17" t="n">
        <v>7731.004</v>
      </c>
      <c r="G3" s="17" t="n">
        <v>6476.766</v>
      </c>
      <c r="H3" s="17" t="n">
        <v>6279.342</v>
      </c>
      <c r="I3" s="17" t="n">
        <v>736.088</v>
      </c>
      <c r="J3" s="18">
        <f>IF(G3=0,"",H3/G3)</f>
        <v/>
      </c>
      <c r="K3" s="19" t="n">
        <v>0.1674139607223072</v>
      </c>
      <c r="L3" s="19" t="n">
        <v>0.1055400699717049</v>
      </c>
      <c r="M3" s="18">
        <f>IF(H3=0,"",I3/H3)</f>
        <v/>
      </c>
      <c r="N3" s="19" t="n">
        <v>3.572644852455635</v>
      </c>
      <c r="O3" s="19" t="n">
        <v>0.06464469466589962</v>
      </c>
      <c r="P3" s="19" t="n">
        <v>0.09250198906652796</v>
      </c>
      <c r="Q3" s="18">
        <f>IF(OR(O3="",P3=""),"",O3-P3)</f>
        <v/>
      </c>
      <c r="R3" s="17" t="n">
        <v>166</v>
      </c>
      <c r="S3" s="17" t="n">
        <v>139.85</v>
      </c>
      <c r="T3" s="19" t="n">
        <v>1</v>
      </c>
      <c r="U3" s="20" t="n"/>
      <c r="V3" s="17" t="n">
        <v>37</v>
      </c>
      <c r="W3" s="18" t="n"/>
      <c r="X3" s="10" t="inlineStr">
        <is>
          <t>Unknown (small filer, channel not reported)</t>
        </is>
      </c>
      <c r="Y3" s="20">
        <f>ROUND(100*(Scoring!$B$4*(1-IFERROR(PERCENTRANK($J$2:$J$46,J3),0.5))+Scoring!$B$5*IFERROR(PERCENTRANK($K$2:$K$46,K3),0.5)+Scoring!$B$6*IFERROR(PERCENTRANK($L$2:$L$46,L3),0.5)+Scoring!$B$7*IFERROR(PERCENTRANK($Q$2:$Q$46,Q3),0.5)+Scoring!$B$8*IFERROR(PERCENTRANK($N$2:$N$46,N3),0.5)+Scoring!$B$9*(1-IFERROR(PERCENTRANK($M$2:$M$46,M3),0.5))),0)</f>
        <v/>
      </c>
      <c r="Z3" s="10">
        <f>IF(AND(Y3&gt;=Scoring!$B$18,F3&gt;=Scoring!$B$20,X3&lt;&gt;"Already takes broker loans"),"Tier 1",IF(Y3&gt;=Scoring!$B$19,"Tier 2","Tier 3"))</f>
        <v/>
      </c>
      <c r="AA3" s="21" t="n"/>
      <c r="AB3" s="21" t="n"/>
    </row>
    <row r="4">
      <c r="A4" s="10" t="inlineStr">
        <is>
          <t>bank:18618</t>
        </is>
      </c>
      <c r="B4" s="10" t="inlineStr">
        <is>
          <t>SMBC MANUBANK</t>
        </is>
      </c>
      <c r="C4" s="10" t="inlineStr">
        <is>
          <t>Los Angeles</t>
        </is>
      </c>
      <c r="D4" s="10" t="inlineStr">
        <is>
          <t>Los Angeles</t>
        </is>
      </c>
      <c r="E4" s="10" t="inlineStr">
        <is>
          <t>www.smbcmanubank.com</t>
        </is>
      </c>
      <c r="F4" s="17" t="n">
        <v>6596.628</v>
      </c>
      <c r="G4" s="17" t="n">
        <v>5564.446</v>
      </c>
      <c r="H4" s="17" t="n">
        <v>2683.716</v>
      </c>
      <c r="I4" s="17" t="n">
        <v>5.187</v>
      </c>
      <c r="J4" s="18">
        <f>IF(G4=0,"",H4/G4)</f>
        <v/>
      </c>
      <c r="K4" s="19" t="n">
        <v>0.5536275503181323</v>
      </c>
      <c r="L4" s="19" t="n">
        <v>0.09626596656662395</v>
      </c>
      <c r="M4" s="18">
        <f>IF(H4=0,"",I4/H4)</f>
        <v/>
      </c>
      <c r="N4" s="19" t="n">
        <v>1.547377741713521</v>
      </c>
      <c r="O4" s="19" t="n">
        <v>-0.000810384849304846</v>
      </c>
      <c r="P4" s="19" t="n">
        <v>-0.4022964135103323</v>
      </c>
      <c r="Q4" s="18">
        <f>IF(OR(O4="",P4=""),"",O4-P4)</f>
        <v/>
      </c>
      <c r="R4" s="20" t="n"/>
      <c r="S4" s="20" t="n"/>
      <c r="T4" s="18" t="n"/>
      <c r="U4" s="20" t="n"/>
      <c r="V4" s="20" t="n"/>
      <c r="W4" s="18" t="n"/>
      <c r="X4" s="10" t="inlineStr">
        <is>
          <t>No HMDA mortgage reporting</t>
        </is>
      </c>
      <c r="Y4" s="20">
        <f>ROUND(100*(Scoring!$B$4*(1-IFERROR(PERCENTRANK($J$2:$J$46,J4),0.5))+Scoring!$B$5*IFERROR(PERCENTRANK($K$2:$K$46,K4),0.5)+Scoring!$B$6*IFERROR(PERCENTRANK($L$2:$L$46,L4),0.5)+Scoring!$B$7*IFERROR(PERCENTRANK($Q$2:$Q$46,Q4),0.5)+Scoring!$B$8*IFERROR(PERCENTRANK($N$2:$N$46,N4),0.5)+Scoring!$B$9*(1-IFERROR(PERCENTRANK($M$2:$M$46,M4),0.5))),0)</f>
        <v/>
      </c>
      <c r="Z4" s="10">
        <f>IF(AND(Y4&gt;=Scoring!$B$18,F4&gt;=Scoring!$B$20,X4&lt;&gt;"Already takes broker loans"),"Tier 1",IF(Y4&gt;=Scoring!$B$19,"Tier 2","Tier 3"))</f>
        <v/>
      </c>
      <c r="AA4" s="21" t="n"/>
      <c r="AB4" s="21" t="n"/>
    </row>
    <row r="5">
      <c r="A5" s="10" t="inlineStr">
        <is>
          <t>bank:19416</t>
        </is>
      </c>
      <c r="B5" s="10" t="inlineStr">
        <is>
          <t>CTBC Bank Corp. (USA)</t>
        </is>
      </c>
      <c r="C5" s="10" t="inlineStr">
        <is>
          <t>Los Angeles</t>
        </is>
      </c>
      <c r="D5" s="10" t="inlineStr">
        <is>
          <t>Los Angeles</t>
        </is>
      </c>
      <c r="E5" s="10" t="inlineStr">
        <is>
          <t>http://www.ctbcbankusa.com</t>
        </is>
      </c>
      <c r="F5" s="17" t="n">
        <v>5872.649</v>
      </c>
      <c r="G5" s="17" t="n">
        <v>5018.563</v>
      </c>
      <c r="H5" s="17" t="n">
        <v>4418.792</v>
      </c>
      <c r="I5" s="17" t="n">
        <v>1497.789</v>
      </c>
      <c r="J5" s="18">
        <f>IF(G5=0,"",H5/G5)</f>
        <v/>
      </c>
      <c r="K5" s="19" t="n">
        <v>0.2135010963536217</v>
      </c>
      <c r="L5" s="19" t="n">
        <v>0.1466722087228137</v>
      </c>
      <c r="M5" s="18">
        <f>IF(H5=0,"",I5/H5)</f>
        <v/>
      </c>
      <c r="N5" s="19" t="n">
        <v>2.136345788354545</v>
      </c>
      <c r="O5" s="19" t="n">
        <v>0.1058509877614231</v>
      </c>
      <c r="P5" s="19" t="n">
        <v>0.02249928266644452</v>
      </c>
      <c r="Q5" s="18">
        <f>IF(OR(O5="",P5=""),"",O5-P5)</f>
        <v/>
      </c>
      <c r="R5" s="17" t="n">
        <v>339</v>
      </c>
      <c r="S5" s="17" t="n">
        <v>322.475</v>
      </c>
      <c r="T5" s="19" t="n">
        <v>1</v>
      </c>
      <c r="U5" s="17" t="n">
        <v>2</v>
      </c>
      <c r="V5" s="17" t="n">
        <v>110</v>
      </c>
      <c r="W5" s="19" t="n">
        <v>0</v>
      </c>
      <c r="X5" s="10" t="inlineStr">
        <is>
          <t>Retail only</t>
        </is>
      </c>
      <c r="Y5" s="20">
        <f>ROUND(100*(Scoring!$B$4*(1-IFERROR(PERCENTRANK($J$2:$J$46,J5),0.5))+Scoring!$B$5*IFERROR(PERCENTRANK($K$2:$K$46,K5),0.5)+Scoring!$B$6*IFERROR(PERCENTRANK($L$2:$L$46,L5),0.5)+Scoring!$B$7*IFERROR(PERCENTRANK($Q$2:$Q$46,Q5),0.5)+Scoring!$B$8*IFERROR(PERCENTRANK($N$2:$N$46,N5),0.5)+Scoring!$B$9*(1-IFERROR(PERCENTRANK($M$2:$M$46,M5),0.5))),0)</f>
        <v/>
      </c>
      <c r="Z5" s="10">
        <f>IF(AND(Y5&gt;=Scoring!$B$18,F5&gt;=Scoring!$B$20,X5&lt;&gt;"Already takes broker loans"),"Tier 1",IF(Y5&gt;=Scoring!$B$19,"Tier 2","Tier 3"))</f>
        <v/>
      </c>
      <c r="AA5" s="21" t="n"/>
      <c r="AB5" s="21" t="n"/>
    </row>
    <row r="6">
      <c r="A6" s="10" t="inlineStr">
        <is>
          <t>bank:34788</t>
        </is>
      </c>
      <c r="B6" s="10" t="inlineStr">
        <is>
          <t>American Business Bank</t>
        </is>
      </c>
      <c r="C6" s="10" t="inlineStr">
        <is>
          <t>Los Angeles</t>
        </is>
      </c>
      <c r="D6" s="10" t="inlineStr">
        <is>
          <t>Los Angeles</t>
        </is>
      </c>
      <c r="E6" s="10" t="inlineStr">
        <is>
          <t>WWW.AMERICANBB.BANK</t>
        </is>
      </c>
      <c r="F6" s="17" t="n">
        <v>4417.375</v>
      </c>
      <c r="G6" s="17" t="n">
        <v>3938.208</v>
      </c>
      <c r="H6" s="17" t="n">
        <v>3124.695</v>
      </c>
      <c r="I6" s="17" t="n">
        <v>129.557</v>
      </c>
      <c r="J6" s="18">
        <f>IF(G6=0,"",H6/G6)</f>
        <v/>
      </c>
      <c r="K6" s="19" t="n">
        <v>0.2686837771300829</v>
      </c>
      <c r="L6" s="19" t="n">
        <v>0.110103703596627</v>
      </c>
      <c r="M6" s="18">
        <f>IF(H6=0,"",I6/H6)</f>
        <v/>
      </c>
      <c r="N6" s="19" t="n">
        <v>1.763814107039366</v>
      </c>
      <c r="O6" s="19" t="n">
        <v>0.01704270036658606</v>
      </c>
      <c r="P6" s="19" t="n">
        <v>0.07935054406304443</v>
      </c>
      <c r="Q6" s="18">
        <f>IF(OR(O6="",P6=""),"",O6-P6)</f>
        <v/>
      </c>
      <c r="R6" s="20" t="n"/>
      <c r="S6" s="20" t="n"/>
      <c r="T6" s="18" t="n"/>
      <c r="U6" s="20" t="n"/>
      <c r="V6" s="20" t="n"/>
      <c r="W6" s="18" t="n"/>
      <c r="X6" s="10" t="inlineStr">
        <is>
          <t>No HMDA mortgage reporting</t>
        </is>
      </c>
      <c r="Y6" s="20">
        <f>ROUND(100*(Scoring!$B$4*(1-IFERROR(PERCENTRANK($J$2:$J$46,J6),0.5))+Scoring!$B$5*IFERROR(PERCENTRANK($K$2:$K$46,K6),0.5)+Scoring!$B$6*IFERROR(PERCENTRANK($L$2:$L$46,L6),0.5)+Scoring!$B$7*IFERROR(PERCENTRANK($Q$2:$Q$46,Q6),0.5)+Scoring!$B$8*IFERROR(PERCENTRANK($N$2:$N$46,N6),0.5)+Scoring!$B$9*(1-IFERROR(PERCENTRANK($M$2:$M$46,M6),0.5))),0)</f>
        <v/>
      </c>
      <c r="Z6" s="10">
        <f>IF(AND(Y6&gt;=Scoring!$B$18,F6&gt;=Scoring!$B$20,X6&lt;&gt;"Already takes broker loans"),"Tier 1",IF(Y6&gt;=Scoring!$B$19,"Tier 2","Tier 3"))</f>
        <v/>
      </c>
      <c r="AA6" s="21" t="n"/>
      <c r="AB6" s="21" t="n"/>
    </row>
    <row r="7">
      <c r="A7" s="10" t="inlineStr">
        <is>
          <t>bank:58816</t>
        </is>
      </c>
      <c r="B7" s="10" t="inlineStr">
        <is>
          <t>Royal Business Bank</t>
        </is>
      </c>
      <c r="C7" s="10" t="inlineStr">
        <is>
          <t>Los Angeles</t>
        </is>
      </c>
      <c r="D7" s="10" t="inlineStr">
        <is>
          <t>Los Angeles</t>
        </is>
      </c>
      <c r="E7" s="10" t="inlineStr">
        <is>
          <t>www.royalbusinessbankusa.com</t>
        </is>
      </c>
      <c r="F7" s="17" t="n">
        <v>4267.264</v>
      </c>
      <c r="G7" s="17" t="n">
        <v>3477.95</v>
      </c>
      <c r="H7" s="17" t="n">
        <v>3309.459</v>
      </c>
      <c r="I7" s="17" t="n">
        <v>1775.441</v>
      </c>
      <c r="J7" s="18">
        <f>IF(G7=0,"",H7/G7)</f>
        <v/>
      </c>
      <c r="K7" s="19" t="n">
        <v>0.1627670563621093</v>
      </c>
      <c r="L7" s="19" t="n">
        <v>0.1254491969301521</v>
      </c>
      <c r="M7" s="18">
        <f>IF(H7=0,"",I7/H7)</f>
        <v/>
      </c>
      <c r="N7" s="19" t="n">
        <v>2.312203502509277</v>
      </c>
      <c r="O7" s="19" t="n">
        <v>0.06769655738122626</v>
      </c>
      <c r="P7" s="19" t="n">
        <v>0.0231131528629438</v>
      </c>
      <c r="Q7" s="18">
        <f>IF(OR(O7="",P7=""),"",O7-P7)</f>
        <v/>
      </c>
      <c r="R7" s="17" t="n">
        <v>607</v>
      </c>
      <c r="S7" s="17" t="n">
        <v>401.965</v>
      </c>
      <c r="T7" s="19" t="n">
        <v>0.9390444810543658</v>
      </c>
      <c r="U7" s="17" t="n">
        <v>7</v>
      </c>
      <c r="V7" s="17" t="n">
        <v>70</v>
      </c>
      <c r="W7" s="19" t="n">
        <v>0.42833607907743</v>
      </c>
      <c r="X7" s="10" t="inlineStr">
        <is>
          <t>Already takes broker loans</t>
        </is>
      </c>
      <c r="Y7" s="20">
        <f>ROUND(100*(Scoring!$B$4*(1-IFERROR(PERCENTRANK($J$2:$J$46,J7),0.5))+Scoring!$B$5*IFERROR(PERCENTRANK($K$2:$K$46,K7),0.5)+Scoring!$B$6*IFERROR(PERCENTRANK($L$2:$L$46,L7),0.5)+Scoring!$B$7*IFERROR(PERCENTRANK($Q$2:$Q$46,Q7),0.5)+Scoring!$B$8*IFERROR(PERCENTRANK($N$2:$N$46,N7),0.5)+Scoring!$B$9*(1-IFERROR(PERCENTRANK($M$2:$M$46,M7),0.5))),0)</f>
        <v/>
      </c>
      <c r="Z7" s="10">
        <f>IF(AND(Y7&gt;=Scoring!$B$18,F7&gt;=Scoring!$B$20,X7&lt;&gt;"Already takes broker loans"),"Tier 1",IF(Y7&gt;=Scoring!$B$19,"Tier 2","Tier 3"))</f>
        <v/>
      </c>
      <c r="AA7" s="21" t="n"/>
      <c r="AB7" s="21" t="n"/>
    </row>
    <row r="8">
      <c r="A8" s="10" t="inlineStr">
        <is>
          <t>bank:57417</t>
        </is>
      </c>
      <c r="B8" s="10" t="inlineStr">
        <is>
          <t>Commercial Bank of California</t>
        </is>
      </c>
      <c r="C8" s="10" t="inlineStr">
        <is>
          <t>Irvine</t>
        </is>
      </c>
      <c r="D8" s="10" t="inlineStr">
        <is>
          <t>Orange</t>
        </is>
      </c>
      <c r="E8" s="10" t="inlineStr">
        <is>
          <t>http://www.cbcal.com</t>
        </is>
      </c>
      <c r="F8" s="17" t="n">
        <v>3979.541</v>
      </c>
      <c r="G8" s="17" t="n">
        <v>3455.518</v>
      </c>
      <c r="H8" s="17" t="n">
        <v>2780.09</v>
      </c>
      <c r="I8" s="17" t="n">
        <v>97.685</v>
      </c>
      <c r="J8" s="18">
        <f>IF(G8=0,"",H8/G8)</f>
        <v/>
      </c>
      <c r="K8" s="19" t="n">
        <v>0.2715021657020245</v>
      </c>
      <c r="L8" s="19" t="n">
        <v>0.0927343028624192</v>
      </c>
      <c r="M8" s="18">
        <f>IF(H8=0,"",I8/H8)</f>
        <v/>
      </c>
      <c r="N8" s="19" t="n">
        <v>4.699686747406303</v>
      </c>
      <c r="O8" s="19" t="n">
        <v>0.1324762543366846</v>
      </c>
      <c r="P8" s="19" t="n">
        <v>0.06188447070974368</v>
      </c>
      <c r="Q8" s="18">
        <f>IF(OR(O8="",P8=""),"",O8-P8)</f>
        <v/>
      </c>
      <c r="R8" s="20" t="n"/>
      <c r="S8" s="20" t="n"/>
      <c r="T8" s="18" t="n"/>
      <c r="U8" s="20" t="n"/>
      <c r="V8" s="20" t="n"/>
      <c r="W8" s="18" t="n"/>
      <c r="X8" s="10" t="inlineStr">
        <is>
          <t>No HMDA mortgage reporting</t>
        </is>
      </c>
      <c r="Y8" s="20">
        <f>ROUND(100*(Scoring!$B$4*(1-IFERROR(PERCENTRANK($J$2:$J$46,J8),0.5))+Scoring!$B$5*IFERROR(PERCENTRANK($K$2:$K$46,K8),0.5)+Scoring!$B$6*IFERROR(PERCENTRANK($L$2:$L$46,L8),0.5)+Scoring!$B$7*IFERROR(PERCENTRANK($Q$2:$Q$46,Q8),0.5)+Scoring!$B$8*IFERROR(PERCENTRANK($N$2:$N$46,N8),0.5)+Scoring!$B$9*(1-IFERROR(PERCENTRANK($M$2:$M$46,M8),0.5))),0)</f>
        <v/>
      </c>
      <c r="Z8" s="10">
        <f>IF(AND(Y8&gt;=Scoring!$B$18,F8&gt;=Scoring!$B$20,X8&lt;&gt;"Already takes broker loans"),"Tier 1",IF(Y8&gt;=Scoring!$B$19,"Tier 2","Tier 3"))</f>
        <v/>
      </c>
      <c r="AA8" s="21" t="n"/>
      <c r="AB8" s="21" t="n"/>
    </row>
    <row r="9">
      <c r="A9" s="10" t="inlineStr">
        <is>
          <t>bank:57463</t>
        </is>
      </c>
      <c r="B9" s="10" t="inlineStr">
        <is>
          <t>PCB Bank</t>
        </is>
      </c>
      <c r="C9" s="10" t="inlineStr">
        <is>
          <t>Los Angeles</t>
        </is>
      </c>
      <c r="D9" s="10" t="inlineStr">
        <is>
          <t>Los Angeles</t>
        </is>
      </c>
      <c r="E9" s="10" t="inlineStr">
        <is>
          <t>www.mypcbbank.com</t>
        </is>
      </c>
      <c r="F9" s="17" t="n">
        <v>3469.065</v>
      </c>
      <c r="G9" s="17" t="n">
        <v>2933.655</v>
      </c>
      <c r="H9" s="17" t="n">
        <v>2934.956</v>
      </c>
      <c r="I9" s="17" t="n">
        <v>450.321</v>
      </c>
      <c r="J9" s="18">
        <f>IF(G9=0,"",H9/G9)</f>
        <v/>
      </c>
      <c r="K9" s="19" t="n">
        <v>0.1295781428136976</v>
      </c>
      <c r="L9" s="19" t="n">
        <v>0.1154422212721987</v>
      </c>
      <c r="M9" s="18">
        <f>IF(H9=0,"",I9/H9)</f>
        <v/>
      </c>
      <c r="N9" s="19" t="n">
        <v>3.035360771034123</v>
      </c>
      <c r="O9" s="19" t="n">
        <v>0.03575395443982554</v>
      </c>
      <c r="P9" s="19" t="n">
        <v>0.04691161793252729</v>
      </c>
      <c r="Q9" s="18">
        <f>IF(OR(O9="",P9=""),"",O9-P9)</f>
        <v/>
      </c>
      <c r="R9" s="17" t="n">
        <v>120</v>
      </c>
      <c r="S9" s="17" t="n">
        <v>78.15000000000001</v>
      </c>
      <c r="T9" s="19" t="n">
        <v>1</v>
      </c>
      <c r="U9" s="20" t="n"/>
      <c r="V9" s="17" t="n">
        <v>38</v>
      </c>
      <c r="W9" s="18" t="n"/>
      <c r="X9" s="10" t="inlineStr">
        <is>
          <t>Unknown (small filer, channel not reported)</t>
        </is>
      </c>
      <c r="Y9" s="20">
        <f>ROUND(100*(Scoring!$B$4*(1-IFERROR(PERCENTRANK($J$2:$J$46,J9),0.5))+Scoring!$B$5*IFERROR(PERCENTRANK($K$2:$K$46,K9),0.5)+Scoring!$B$6*IFERROR(PERCENTRANK($L$2:$L$46,L9),0.5)+Scoring!$B$7*IFERROR(PERCENTRANK($Q$2:$Q$46,Q9),0.5)+Scoring!$B$8*IFERROR(PERCENTRANK($N$2:$N$46,N9),0.5)+Scoring!$B$9*(1-IFERROR(PERCENTRANK($M$2:$M$46,M9),0.5))),0)</f>
        <v/>
      </c>
      <c r="Z9" s="10">
        <f>IF(AND(Y9&gt;=Scoring!$B$18,F9&gt;=Scoring!$B$20,X9&lt;&gt;"Already takes broker loans"),"Tier 1",IF(Y9&gt;=Scoring!$B$19,"Tier 2","Tier 3"))</f>
        <v/>
      </c>
      <c r="AA9" s="21" t="n"/>
      <c r="AB9" s="21" t="n"/>
    </row>
    <row r="10">
      <c r="A10" s="10" t="inlineStr">
        <is>
          <t>bank:57944</t>
        </is>
      </c>
      <c r="B10" s="10" t="inlineStr">
        <is>
          <t>Open Bank</t>
        </is>
      </c>
      <c r="C10" s="10" t="inlineStr">
        <is>
          <t>Los Angeles</t>
        </is>
      </c>
      <c r="D10" s="10" t="inlineStr">
        <is>
          <t>Los Angeles</t>
        </is>
      </c>
      <c r="E10" s="10" t="inlineStr">
        <is>
          <t>www.myopenbank.com</t>
        </is>
      </c>
      <c r="F10" s="17" t="n">
        <v>2745.961</v>
      </c>
      <c r="G10" s="17" t="n">
        <v>2369.409</v>
      </c>
      <c r="H10" s="17" t="n">
        <v>2280.366</v>
      </c>
      <c r="I10" s="17" t="n">
        <v>643.706</v>
      </c>
      <c r="J10" s="18">
        <f>IF(G10=0,"",H10/G10)</f>
        <v/>
      </c>
      <c r="K10" s="19" t="n">
        <v>0.1389109313642838</v>
      </c>
      <c r="L10" s="19" t="n">
        <v>0.1014727210014961</v>
      </c>
      <c r="M10" s="18">
        <f>IF(H10=0,"",I10/H10)</f>
        <v/>
      </c>
      <c r="N10" s="19" t="n">
        <v>2.547562127285815</v>
      </c>
      <c r="O10" s="19" t="n">
        <v>0.04981809690953054</v>
      </c>
      <c r="P10" s="19" t="n">
        <v>0.09025165471725893</v>
      </c>
      <c r="Q10" s="18">
        <f>IF(OR(O10="",P10=""),"",O10-P10)</f>
        <v/>
      </c>
      <c r="R10" s="17" t="n">
        <v>18</v>
      </c>
      <c r="S10" s="17" t="n">
        <v>15.29</v>
      </c>
      <c r="T10" s="19" t="n">
        <v>1</v>
      </c>
      <c r="U10" s="17" t="n">
        <v>0</v>
      </c>
      <c r="V10" s="17" t="n">
        <v>2</v>
      </c>
      <c r="W10" s="19" t="n">
        <v>0.05555555555555555</v>
      </c>
      <c r="X10" s="10" t="inlineStr">
        <is>
          <t>Mostly retail, a few broker loans</t>
        </is>
      </c>
      <c r="Y10" s="20">
        <f>ROUND(100*(Scoring!$B$4*(1-IFERROR(PERCENTRANK($J$2:$J$46,J10),0.5))+Scoring!$B$5*IFERROR(PERCENTRANK($K$2:$K$46,K10),0.5)+Scoring!$B$6*IFERROR(PERCENTRANK($L$2:$L$46,L10),0.5)+Scoring!$B$7*IFERROR(PERCENTRANK($Q$2:$Q$46,Q10),0.5)+Scoring!$B$8*IFERROR(PERCENTRANK($N$2:$N$46,N10),0.5)+Scoring!$B$9*(1-IFERROR(PERCENTRANK($M$2:$M$46,M10),0.5))),0)</f>
        <v/>
      </c>
      <c r="Z10" s="10">
        <f>IF(AND(Y10&gt;=Scoring!$B$18,F10&gt;=Scoring!$B$20,X10&lt;&gt;"Already takes broker loans"),"Tier 1",IF(Y10&gt;=Scoring!$B$19,"Tier 2","Tier 3"))</f>
        <v/>
      </c>
      <c r="AA10" s="21" t="n"/>
      <c r="AB10" s="21" t="n"/>
    </row>
    <row r="11">
      <c r="A11" s="10" t="inlineStr">
        <is>
          <t>bank:57873</t>
        </is>
      </c>
      <c r="B11" s="10" t="inlineStr">
        <is>
          <t>Commonwealth Business Bank</t>
        </is>
      </c>
      <c r="C11" s="10" t="inlineStr">
        <is>
          <t>Los Angeles</t>
        </is>
      </c>
      <c r="D11" s="10" t="inlineStr">
        <is>
          <t>Los Angeles</t>
        </is>
      </c>
      <c r="E11" s="10" t="inlineStr">
        <is>
          <t>www.cbb-bank.com</t>
        </is>
      </c>
      <c r="F11" s="17" t="n">
        <v>1966.224</v>
      </c>
      <c r="G11" s="17" t="n">
        <v>1664.464</v>
      </c>
      <c r="H11" s="17" t="n">
        <v>1524.027</v>
      </c>
      <c r="I11" s="17" t="n">
        <v>98.65900000000001</v>
      </c>
      <c r="J11" s="18">
        <f>IF(G11=0,"",H11/G11)</f>
        <v/>
      </c>
      <c r="K11" s="19" t="n">
        <v>0.2088098812749717</v>
      </c>
      <c r="L11" s="19" t="n">
        <v>0.1393288463041789</v>
      </c>
      <c r="M11" s="18">
        <f>IF(H11=0,"",I11/H11)</f>
        <v/>
      </c>
      <c r="N11" s="19" t="n">
        <v>2.592327955785885</v>
      </c>
      <c r="O11" s="19" t="n">
        <v>0.0911105182182359</v>
      </c>
      <c r="P11" s="19" t="n">
        <v>0.04235340626030193</v>
      </c>
      <c r="Q11" s="18">
        <f>IF(OR(O11="",P11=""),"",O11-P11)</f>
        <v/>
      </c>
      <c r="R11" s="20" t="n"/>
      <c r="S11" s="20" t="n"/>
      <c r="T11" s="18" t="n"/>
      <c r="U11" s="20" t="n"/>
      <c r="V11" s="20" t="n"/>
      <c r="W11" s="18" t="n"/>
      <c r="X11" s="10" t="inlineStr">
        <is>
          <t>No HMDA mortgage reporting</t>
        </is>
      </c>
      <c r="Y11" s="20">
        <f>ROUND(100*(Scoring!$B$4*(1-IFERROR(PERCENTRANK($J$2:$J$46,J11),0.5))+Scoring!$B$5*IFERROR(PERCENTRANK($K$2:$K$46,K11),0.5)+Scoring!$B$6*IFERROR(PERCENTRANK($L$2:$L$46,L11),0.5)+Scoring!$B$7*IFERROR(PERCENTRANK($Q$2:$Q$46,Q11),0.5)+Scoring!$B$8*IFERROR(PERCENTRANK($N$2:$N$46,N11),0.5)+Scoring!$B$9*(1-IFERROR(PERCENTRANK($M$2:$M$46,M11),0.5))),0)</f>
        <v/>
      </c>
      <c r="Z11" s="10">
        <f>IF(AND(Y11&gt;=Scoring!$B$18,F11&gt;=Scoring!$B$20,X11&lt;&gt;"Already takes broker loans"),"Tier 1",IF(Y11&gt;=Scoring!$B$19,"Tier 2","Tier 3"))</f>
        <v/>
      </c>
      <c r="AA11" s="21" t="n"/>
      <c r="AB11" s="21" t="n"/>
    </row>
    <row r="12">
      <c r="A12" s="10" t="inlineStr">
        <is>
          <t>bank:58310</t>
        </is>
      </c>
      <c r="B12" s="10" t="inlineStr">
        <is>
          <t>US Metro Bank</t>
        </is>
      </c>
      <c r="C12" s="10" t="inlineStr">
        <is>
          <t>Garden Grove</t>
        </is>
      </c>
      <c r="D12" s="10" t="inlineStr">
        <is>
          <t>Orange</t>
        </is>
      </c>
      <c r="E12" s="10" t="inlineStr">
        <is>
          <t>http://WWW.USMETROBANK.COM</t>
        </is>
      </c>
      <c r="F12" s="17" t="n">
        <v>1640.896</v>
      </c>
      <c r="G12" s="17" t="n">
        <v>1437.567</v>
      </c>
      <c r="H12" s="17" t="n">
        <v>1371.367</v>
      </c>
      <c r="I12" s="17" t="n">
        <v>195.945</v>
      </c>
      <c r="J12" s="18">
        <f>IF(G12=0,"",H12/G12)</f>
        <v/>
      </c>
      <c r="K12" s="19" t="n">
        <v>0.1495542679121651</v>
      </c>
      <c r="L12" s="19" t="n">
        <v>0.1041644901879093</v>
      </c>
      <c r="M12" s="18">
        <f>IF(H12=0,"",I12/H12)</f>
        <v/>
      </c>
      <c r="N12" s="19" t="n">
        <v>3.929875958019937</v>
      </c>
      <c r="O12" s="19" t="n">
        <v>0.1222794286985678</v>
      </c>
      <c r="P12" s="19" t="n">
        <v>0.1153251510491091</v>
      </c>
      <c r="Q12" s="18">
        <f>IF(OR(O12="",P12=""),"",O12-P12)</f>
        <v/>
      </c>
      <c r="R12" s="20" t="n"/>
      <c r="S12" s="20" t="n"/>
      <c r="T12" s="18" t="n"/>
      <c r="U12" s="20" t="n"/>
      <c r="V12" s="20" t="n"/>
      <c r="W12" s="18" t="n"/>
      <c r="X12" s="10" t="inlineStr">
        <is>
          <t>No HMDA mortgage reporting</t>
        </is>
      </c>
      <c r="Y12" s="20">
        <f>ROUND(100*(Scoring!$B$4*(1-IFERROR(PERCENTRANK($J$2:$J$46,J12),0.5))+Scoring!$B$5*IFERROR(PERCENTRANK($K$2:$K$46,K12),0.5)+Scoring!$B$6*IFERROR(PERCENTRANK($L$2:$L$46,L12),0.5)+Scoring!$B$7*IFERROR(PERCENTRANK($Q$2:$Q$46,Q12),0.5)+Scoring!$B$8*IFERROR(PERCENTRANK($N$2:$N$46,N12),0.5)+Scoring!$B$9*(1-IFERROR(PERCENTRANK($M$2:$M$46,M12),0.5))),0)</f>
        <v/>
      </c>
      <c r="Z12" s="10">
        <f>IF(AND(Y12&gt;=Scoring!$B$18,F12&gt;=Scoring!$B$20,X12&lt;&gt;"Already takes broker loans"),"Tier 1",IF(Y12&gt;=Scoring!$B$19,"Tier 2","Tier 3"))</f>
        <v/>
      </c>
      <c r="AA12" s="21" t="n"/>
      <c r="AB12" s="21" t="n"/>
    </row>
    <row r="13">
      <c r="A13" s="10" t="inlineStr">
        <is>
          <t>bank:32282</t>
        </is>
      </c>
      <c r="B13" s="10" t="inlineStr">
        <is>
          <t>Malaga Bank F.S.B.</t>
        </is>
      </c>
      <c r="C13" s="10" t="inlineStr">
        <is>
          <t>Palos Verdes Peninsula</t>
        </is>
      </c>
      <c r="D13" s="10" t="inlineStr">
        <is>
          <t>Los Angeles</t>
        </is>
      </c>
      <c r="E13" s="10" t="inlineStr">
        <is>
          <t>www.malagabank.com</t>
        </is>
      </c>
      <c r="F13" s="17" t="n">
        <v>1448.853</v>
      </c>
      <c r="G13" s="17" t="n">
        <v>942.08</v>
      </c>
      <c r="H13" s="17" t="n">
        <v>1242.053</v>
      </c>
      <c r="I13" s="17" t="n">
        <v>78.919</v>
      </c>
      <c r="J13" s="18">
        <f>IF(G13=0,"",H13/G13)</f>
        <v/>
      </c>
      <c r="K13" s="19" t="n">
        <v>0.1231884808189651</v>
      </c>
      <c r="L13" s="19" t="n">
        <v>0.1675908252232999</v>
      </c>
      <c r="M13" s="18">
        <f>IF(H13=0,"",I13/H13)</f>
        <v/>
      </c>
      <c r="N13" s="19" t="n">
        <v>4.728057302443565</v>
      </c>
      <c r="O13" s="19" t="n">
        <v>0.01551274187793528</v>
      </c>
      <c r="P13" s="19" t="n">
        <v>0.02719723578298128</v>
      </c>
      <c r="Q13" s="18">
        <f>IF(OR(O13="",P13=""),"",O13-P13)</f>
        <v/>
      </c>
      <c r="R13" s="17" t="n">
        <v>5</v>
      </c>
      <c r="S13" s="17" t="n">
        <v>4.175</v>
      </c>
      <c r="T13" s="19" t="n">
        <v>1</v>
      </c>
      <c r="U13" s="20" t="n"/>
      <c r="V13" s="17" t="n">
        <v>5</v>
      </c>
      <c r="W13" s="18" t="n"/>
      <c r="X13" s="10" t="inlineStr">
        <is>
          <t>Unknown (small filer, channel not reported)</t>
        </is>
      </c>
      <c r="Y13" s="20">
        <f>ROUND(100*(Scoring!$B$4*(1-IFERROR(PERCENTRANK($J$2:$J$46,J13),0.5))+Scoring!$B$5*IFERROR(PERCENTRANK($K$2:$K$46,K13),0.5)+Scoring!$B$6*IFERROR(PERCENTRANK($L$2:$L$46,L13),0.5)+Scoring!$B$7*IFERROR(PERCENTRANK($Q$2:$Q$46,Q13),0.5)+Scoring!$B$8*IFERROR(PERCENTRANK($N$2:$N$46,N13),0.5)+Scoring!$B$9*(1-IFERROR(PERCENTRANK($M$2:$M$46,M13),0.5))),0)</f>
        <v/>
      </c>
      <c r="Z13" s="10">
        <f>IF(AND(Y13&gt;=Scoring!$B$18,F13&gt;=Scoring!$B$20,X13&lt;&gt;"Already takes broker loans"),"Tier 1",IF(Y13&gt;=Scoring!$B$19,"Tier 2","Tier 3"))</f>
        <v/>
      </c>
      <c r="AA13" s="21" t="n"/>
      <c r="AB13" s="21" t="n"/>
    </row>
    <row r="14">
      <c r="A14" s="10" t="inlineStr">
        <is>
          <t>bank:23998</t>
        </is>
      </c>
      <c r="B14" s="10" t="inlineStr">
        <is>
          <t>State Bank of India (California)</t>
        </is>
      </c>
      <c r="C14" s="10" t="inlineStr">
        <is>
          <t>Los Angeles</t>
        </is>
      </c>
      <c r="D14" s="10" t="inlineStr">
        <is>
          <t>Los Angeles</t>
        </is>
      </c>
      <c r="E14" s="10" t="inlineStr">
        <is>
          <t>www.sbical.com</t>
        </is>
      </c>
      <c r="F14" s="17" t="n">
        <v>1382.642</v>
      </c>
      <c r="G14" s="17" t="n">
        <v>1181.334</v>
      </c>
      <c r="H14" s="17" t="n">
        <v>1182.876</v>
      </c>
      <c r="I14" s="17" t="n">
        <v>0</v>
      </c>
      <c r="J14" s="18">
        <f>IF(G14=0,"",H14/G14)</f>
        <v/>
      </c>
      <c r="K14" s="19" t="n">
        <v>0.1351398265060659</v>
      </c>
      <c r="L14" s="19" t="n">
        <v>0.1404850166561888</v>
      </c>
      <c r="M14" s="18">
        <f>IF(H14=0,"",I14/H14)</f>
        <v/>
      </c>
      <c r="N14" s="19" t="n">
        <v>2.756162358103596</v>
      </c>
      <c r="O14" s="19" t="n">
        <v>0.05948762561602861</v>
      </c>
      <c r="P14" s="19" t="n">
        <v>0.03942496111633464</v>
      </c>
      <c r="Q14" s="18">
        <f>IF(OR(O14="",P14=""),"",O14-P14)</f>
        <v/>
      </c>
      <c r="R14" s="20" t="n"/>
      <c r="S14" s="20" t="n"/>
      <c r="T14" s="18" t="n"/>
      <c r="U14" s="20" t="n"/>
      <c r="V14" s="20" t="n"/>
      <c r="W14" s="18" t="n"/>
      <c r="X14" s="10" t="inlineStr">
        <is>
          <t>No HMDA mortgage reporting</t>
        </is>
      </c>
      <c r="Y14" s="20">
        <f>ROUND(100*(Scoring!$B$4*(1-IFERROR(PERCENTRANK($J$2:$J$46,J14),0.5))+Scoring!$B$5*IFERROR(PERCENTRANK($K$2:$K$46,K14),0.5)+Scoring!$B$6*IFERROR(PERCENTRANK($L$2:$L$46,L14),0.5)+Scoring!$B$7*IFERROR(PERCENTRANK($Q$2:$Q$46,Q14),0.5)+Scoring!$B$8*IFERROR(PERCENTRANK($N$2:$N$46,N14),0.5)+Scoring!$B$9*(1-IFERROR(PERCENTRANK($M$2:$M$46,M14),0.5))),0)</f>
        <v/>
      </c>
      <c r="Z14" s="10">
        <f>IF(AND(Y14&gt;=Scoring!$B$18,F14&gt;=Scoring!$B$20,X14&lt;&gt;"Already takes broker loans"),"Tier 1",IF(Y14&gt;=Scoring!$B$19,"Tier 2","Tier 3"))</f>
        <v/>
      </c>
      <c r="AA14" s="21" t="n"/>
      <c r="AB14" s="21" t="n"/>
    </row>
    <row r="15">
      <c r="A15" s="10" t="inlineStr">
        <is>
          <t>bank:30879</t>
        </is>
      </c>
      <c r="B15" s="10" t="inlineStr">
        <is>
          <t>Provident Savings Bank, F.S.B.</t>
        </is>
      </c>
      <c r="C15" s="10" t="inlineStr">
        <is>
          <t>Riverside</t>
        </is>
      </c>
      <c r="D15" s="10" t="inlineStr">
        <is>
          <t>Riverside</t>
        </is>
      </c>
      <c r="E15" s="10" t="inlineStr">
        <is>
          <t>www.myprovident.com</t>
        </is>
      </c>
      <c r="F15" s="17" t="n">
        <v>1208.112</v>
      </c>
      <c r="G15" s="17" t="n">
        <v>916.825</v>
      </c>
      <c r="H15" s="17" t="n">
        <v>1038.532</v>
      </c>
      <c r="I15" s="17" t="n">
        <v>573.27</v>
      </c>
      <c r="J15" s="18">
        <f>IF(G15=0,"",H15/G15)</f>
        <v/>
      </c>
      <c r="K15" s="19" t="n">
        <v>0.1165247924033533</v>
      </c>
      <c r="L15" s="19" t="n">
        <v>0.1029567545398046</v>
      </c>
      <c r="M15" s="18">
        <f>IF(H15=0,"",I15/H15)</f>
        <v/>
      </c>
      <c r="N15" s="19" t="n">
        <v>3.539846257879478</v>
      </c>
      <c r="O15" s="19" t="n">
        <v>0.0241840710653547</v>
      </c>
      <c r="P15" s="19" t="n">
        <v>-0.0129608456436181</v>
      </c>
      <c r="Q15" s="18">
        <f>IF(OR(O15="",P15=""),"",O15-P15)</f>
        <v/>
      </c>
      <c r="R15" s="17" t="n">
        <v>110</v>
      </c>
      <c r="S15" s="17" t="n">
        <v>93.43000000000001</v>
      </c>
      <c r="T15" s="19" t="n">
        <v>0.9272727272727272</v>
      </c>
      <c r="U15" s="17" t="n">
        <v>0</v>
      </c>
      <c r="V15" s="17" t="n">
        <v>1</v>
      </c>
      <c r="W15" s="19" t="n">
        <v>0.9818181818181818</v>
      </c>
      <c r="X15" s="10" t="inlineStr">
        <is>
          <t>Already takes broker loans</t>
        </is>
      </c>
      <c r="Y15" s="20">
        <f>ROUND(100*(Scoring!$B$4*(1-IFERROR(PERCENTRANK($J$2:$J$46,J15),0.5))+Scoring!$B$5*IFERROR(PERCENTRANK($K$2:$K$46,K15),0.5)+Scoring!$B$6*IFERROR(PERCENTRANK($L$2:$L$46,L15),0.5)+Scoring!$B$7*IFERROR(PERCENTRANK($Q$2:$Q$46,Q15),0.5)+Scoring!$B$8*IFERROR(PERCENTRANK($N$2:$N$46,N15),0.5)+Scoring!$B$9*(1-IFERROR(PERCENTRANK($M$2:$M$46,M15),0.5))),0)</f>
        <v/>
      </c>
      <c r="Z15" s="10">
        <f>IF(AND(Y15&gt;=Scoring!$B$18,F15&gt;=Scoring!$B$20,X15&lt;&gt;"Already takes broker loans"),"Tier 1",IF(Y15&gt;=Scoring!$B$19,"Tier 2","Tier 3"))</f>
        <v/>
      </c>
      <c r="AA15" s="21" t="n"/>
      <c r="AB15" s="21" t="n"/>
    </row>
    <row r="16">
      <c r="A16" s="10" t="inlineStr">
        <is>
          <t>bank:57176</t>
        </is>
      </c>
      <c r="B16" s="10" t="inlineStr">
        <is>
          <t>Commerce West Bank</t>
        </is>
      </c>
      <c r="C16" s="10" t="inlineStr">
        <is>
          <t>Irvine</t>
        </is>
      </c>
      <c r="D16" s="10" t="inlineStr">
        <is>
          <t>Orange</t>
        </is>
      </c>
      <c r="E16" s="10" t="inlineStr">
        <is>
          <t>www.cwbk.com</t>
        </is>
      </c>
      <c r="F16" s="17" t="n">
        <v>1196.315</v>
      </c>
      <c r="G16" s="17" t="n">
        <v>1055.805</v>
      </c>
      <c r="H16" s="17" t="n">
        <v>779.651</v>
      </c>
      <c r="I16" s="17" t="n">
        <v>167.387</v>
      </c>
      <c r="J16" s="18">
        <f>IF(G16=0,"",H16/G16)</f>
        <v/>
      </c>
      <c r="K16" s="19" t="n">
        <v>0.3281125790448168</v>
      </c>
      <c r="L16" s="19" t="n">
        <v>0.1114471389654862</v>
      </c>
      <c r="M16" s="18">
        <f>IF(H16=0,"",I16/H16)</f>
        <v/>
      </c>
      <c r="N16" s="19" t="n">
        <v>2.063953286295228</v>
      </c>
      <c r="O16" s="19" t="n">
        <v>0.02138138324064065</v>
      </c>
      <c r="P16" s="19" t="n">
        <v>-0.03877919628161586</v>
      </c>
      <c r="Q16" s="18">
        <f>IF(OR(O16="",P16=""),"",O16-P16)</f>
        <v/>
      </c>
      <c r="R16" s="20" t="n"/>
      <c r="S16" s="20" t="n"/>
      <c r="T16" s="18" t="n"/>
      <c r="U16" s="20" t="n"/>
      <c r="V16" s="20" t="n"/>
      <c r="W16" s="18" t="n"/>
      <c r="X16" s="10" t="inlineStr">
        <is>
          <t>No HMDA mortgage reporting</t>
        </is>
      </c>
      <c r="Y16" s="20">
        <f>ROUND(100*(Scoring!$B$4*(1-IFERROR(PERCENTRANK($J$2:$J$46,J16),0.5))+Scoring!$B$5*IFERROR(PERCENTRANK($K$2:$K$46,K16),0.5)+Scoring!$B$6*IFERROR(PERCENTRANK($L$2:$L$46,L16),0.5)+Scoring!$B$7*IFERROR(PERCENTRANK($Q$2:$Q$46,Q16),0.5)+Scoring!$B$8*IFERROR(PERCENTRANK($N$2:$N$46,N16),0.5)+Scoring!$B$9*(1-IFERROR(PERCENTRANK($M$2:$M$46,M16),0.5))),0)</f>
        <v/>
      </c>
      <c r="Z16" s="10">
        <f>IF(AND(Y16&gt;=Scoring!$B$18,F16&gt;=Scoring!$B$20,X16&lt;&gt;"Already takes broker loans"),"Tier 1",IF(Y16&gt;=Scoring!$B$19,"Tier 2","Tier 3"))</f>
        <v/>
      </c>
      <c r="AA16" s="21" t="n"/>
      <c r="AB16" s="21" t="n"/>
    </row>
    <row r="17">
      <c r="A17" s="10" t="inlineStr">
        <is>
          <t>bank:58060</t>
        </is>
      </c>
      <c r="B17" s="10" t="inlineStr">
        <is>
          <t>First General Bank</t>
        </is>
      </c>
      <c r="C17" s="10" t="inlineStr">
        <is>
          <t>Rowland Heights</t>
        </is>
      </c>
      <c r="D17" s="10" t="inlineStr">
        <is>
          <t>Los Angeles</t>
        </is>
      </c>
      <c r="E17" s="10" t="inlineStr">
        <is>
          <t>http://www.firstgeneralbank.com</t>
        </is>
      </c>
      <c r="F17" s="17" t="n">
        <v>1174.806</v>
      </c>
      <c r="G17" s="17" t="n">
        <v>837.772</v>
      </c>
      <c r="H17" s="17" t="n">
        <v>944.215</v>
      </c>
      <c r="I17" s="17" t="n">
        <v>34.645</v>
      </c>
      <c r="J17" s="18">
        <f>IF(G17=0,"",H17/G17)</f>
        <v/>
      </c>
      <c r="K17" s="19" t="n">
        <v>0.1709320517600353</v>
      </c>
      <c r="L17" s="19" t="n">
        <v>0.2629498040886008</v>
      </c>
      <c r="M17" s="18">
        <f>IF(H17=0,"",I17/H17)</f>
        <v/>
      </c>
      <c r="N17" s="19" t="n">
        <v>2.06400603153386</v>
      </c>
      <c r="O17" s="19" t="n">
        <v>0.01667534352469757</v>
      </c>
      <c r="P17" s="19" t="n">
        <v>0.01545964897186614</v>
      </c>
      <c r="Q17" s="18">
        <f>IF(OR(O17="",P17=""),"",O17-P17)</f>
        <v/>
      </c>
      <c r="R17" s="20" t="n"/>
      <c r="S17" s="20" t="n"/>
      <c r="T17" s="18" t="n"/>
      <c r="U17" s="20" t="n"/>
      <c r="V17" s="20" t="n"/>
      <c r="W17" s="18" t="n"/>
      <c r="X17" s="10" t="inlineStr">
        <is>
          <t>No HMDA mortgage reporting</t>
        </is>
      </c>
      <c r="Y17" s="20">
        <f>ROUND(100*(Scoring!$B$4*(1-IFERROR(PERCENTRANK($J$2:$J$46,J17),0.5))+Scoring!$B$5*IFERROR(PERCENTRANK($K$2:$K$46,K17),0.5)+Scoring!$B$6*IFERROR(PERCENTRANK($L$2:$L$46,L17),0.5)+Scoring!$B$7*IFERROR(PERCENTRANK($Q$2:$Q$46,Q17),0.5)+Scoring!$B$8*IFERROR(PERCENTRANK($N$2:$N$46,N17),0.5)+Scoring!$B$9*(1-IFERROR(PERCENTRANK($M$2:$M$46,M17),0.5))),0)</f>
        <v/>
      </c>
      <c r="Z17" s="10">
        <f>IF(AND(Y17&gt;=Scoring!$B$18,F17&gt;=Scoring!$B$20,X17&lt;&gt;"Already takes broker loans"),"Tier 1",IF(Y17&gt;=Scoring!$B$19,"Tier 2","Tier 3"))</f>
        <v/>
      </c>
      <c r="AA17" s="21" t="n"/>
      <c r="AB17" s="21" t="n"/>
    </row>
    <row r="18">
      <c r="A18" s="10" t="inlineStr">
        <is>
          <t>bank:34010</t>
        </is>
      </c>
      <c r="B18" s="10" t="inlineStr">
        <is>
          <t>EverTrust Bank</t>
        </is>
      </c>
      <c r="C18" s="10" t="inlineStr">
        <is>
          <t>City Of Industry</t>
        </is>
      </c>
      <c r="D18" s="10" t="inlineStr">
        <is>
          <t>Los Angeles</t>
        </is>
      </c>
      <c r="E18" s="10" t="inlineStr">
        <is>
          <t>http://www.evertrustbank.com</t>
        </is>
      </c>
      <c r="F18" s="17" t="n">
        <v>1125.37</v>
      </c>
      <c r="G18" s="17" t="n">
        <v>848.571</v>
      </c>
      <c r="H18" s="17" t="n">
        <v>817.04</v>
      </c>
      <c r="I18" s="17" t="n">
        <v>88.018</v>
      </c>
      <c r="J18" s="18">
        <f>IF(G18=0,"",H18/G18)</f>
        <v/>
      </c>
      <c r="K18" s="19" t="n">
        <v>0.1998293894452491</v>
      </c>
      <c r="L18" s="19" t="n">
        <v>0.2170785904190669</v>
      </c>
      <c r="M18" s="18">
        <f>IF(H18=0,"",I18/H18)</f>
        <v/>
      </c>
      <c r="N18" s="19" t="n">
        <v>2.109678552608467</v>
      </c>
      <c r="O18" s="19" t="n">
        <v>0.1512978661051534</v>
      </c>
      <c r="P18" s="19" t="n">
        <v>0.02373007927568072</v>
      </c>
      <c r="Q18" s="18">
        <f>IF(OR(O18="",P18=""),"",O18-P18)</f>
        <v/>
      </c>
      <c r="R18" s="20" t="n"/>
      <c r="S18" s="20" t="n"/>
      <c r="T18" s="18" t="n"/>
      <c r="U18" s="20" t="n"/>
      <c r="V18" s="20" t="n"/>
      <c r="W18" s="18" t="n"/>
      <c r="X18" s="10" t="inlineStr">
        <is>
          <t>No HMDA mortgage reporting</t>
        </is>
      </c>
      <c r="Y18" s="20">
        <f>ROUND(100*(Scoring!$B$4*(1-IFERROR(PERCENTRANK($J$2:$J$46,J18),0.5))+Scoring!$B$5*IFERROR(PERCENTRANK($K$2:$K$46,K18),0.5)+Scoring!$B$6*IFERROR(PERCENTRANK($L$2:$L$46,L18),0.5)+Scoring!$B$7*IFERROR(PERCENTRANK($Q$2:$Q$46,Q18),0.5)+Scoring!$B$8*IFERROR(PERCENTRANK($N$2:$N$46,N18),0.5)+Scoring!$B$9*(1-IFERROR(PERCENTRANK($M$2:$M$46,M18),0.5))),0)</f>
        <v/>
      </c>
      <c r="Z18" s="10">
        <f>IF(AND(Y18&gt;=Scoring!$B$18,F18&gt;=Scoring!$B$20,X18&lt;&gt;"Already takes broker loans"),"Tier 1",IF(Y18&gt;=Scoring!$B$19,"Tier 2","Tier 3"))</f>
        <v/>
      </c>
      <c r="AA18" s="21" t="n"/>
      <c r="AB18" s="21" t="n"/>
    </row>
    <row r="19">
      <c r="A19" s="10" t="inlineStr">
        <is>
          <t>bank:57585</t>
        </is>
      </c>
      <c r="B19" s="10" t="inlineStr">
        <is>
          <t>Golden State Bank</t>
        </is>
      </c>
      <c r="C19" s="10" t="inlineStr">
        <is>
          <t>Glendale</t>
        </is>
      </c>
      <c r="D19" s="10" t="inlineStr">
        <is>
          <t>Los Angeles</t>
        </is>
      </c>
      <c r="E19" s="10" t="inlineStr">
        <is>
          <t>www.goldenstatebank.com</t>
        </is>
      </c>
      <c r="F19" s="17" t="n">
        <v>1000.102</v>
      </c>
      <c r="G19" s="17" t="n">
        <v>856.5599999999999</v>
      </c>
      <c r="H19" s="17" t="n">
        <v>858.061</v>
      </c>
      <c r="I19" s="17" t="n">
        <v>32.826</v>
      </c>
      <c r="J19" s="18">
        <f>IF(G19=0,"",H19/G19)</f>
        <v/>
      </c>
      <c r="K19" s="19" t="n">
        <v>0.1323335019827978</v>
      </c>
      <c r="L19" s="19" t="n">
        <v>0.1103529418912064</v>
      </c>
      <c r="M19" s="18">
        <f>IF(H19=0,"",I19/H19)</f>
        <v/>
      </c>
      <c r="N19" s="19" t="n">
        <v>4.20355825518874</v>
      </c>
      <c r="O19" s="19" t="n">
        <v>0.08579389234597445</v>
      </c>
      <c r="P19" s="19" t="n">
        <v>0.09267324261479248</v>
      </c>
      <c r="Q19" s="18">
        <f>IF(OR(O19="",P19=""),"",O19-P19)</f>
        <v/>
      </c>
      <c r="R19" s="20" t="n"/>
      <c r="S19" s="20" t="n"/>
      <c r="T19" s="18" t="n"/>
      <c r="U19" s="20" t="n"/>
      <c r="V19" s="20" t="n"/>
      <c r="W19" s="18" t="n"/>
      <c r="X19" s="10" t="inlineStr">
        <is>
          <t>No HMDA mortgage reporting</t>
        </is>
      </c>
      <c r="Y19" s="20">
        <f>ROUND(100*(Scoring!$B$4*(1-IFERROR(PERCENTRANK($J$2:$J$46,J19),0.5))+Scoring!$B$5*IFERROR(PERCENTRANK($K$2:$K$46,K19),0.5)+Scoring!$B$6*IFERROR(PERCENTRANK($L$2:$L$46,L19),0.5)+Scoring!$B$7*IFERROR(PERCENTRANK($Q$2:$Q$46,Q19),0.5)+Scoring!$B$8*IFERROR(PERCENTRANK($N$2:$N$46,N19),0.5)+Scoring!$B$9*(1-IFERROR(PERCENTRANK($M$2:$M$46,M19),0.5))),0)</f>
        <v/>
      </c>
      <c r="Z19" s="10">
        <f>IF(AND(Y19&gt;=Scoring!$B$18,F19&gt;=Scoring!$B$20,X19&lt;&gt;"Already takes broker loans"),"Tier 1",IF(Y19&gt;=Scoring!$B$19,"Tier 2","Tier 3"))</f>
        <v/>
      </c>
      <c r="AA19" s="21" t="n"/>
      <c r="AB19" s="21" t="n"/>
    </row>
    <row r="20">
      <c r="A20" s="10" t="inlineStr">
        <is>
          <t>bank:21606</t>
        </is>
      </c>
      <c r="B20" s="10" t="inlineStr">
        <is>
          <t>HCN Bank</t>
        </is>
      </c>
      <c r="C20" s="10" t="inlineStr">
        <is>
          <t>Riverside</t>
        </is>
      </c>
      <c r="D20" s="10" t="inlineStr">
        <is>
          <t>Riverside</t>
        </is>
      </c>
      <c r="E20" s="10" t="inlineStr">
        <is>
          <t>http://www.hcnbank.com</t>
        </is>
      </c>
      <c r="F20" s="17" t="n">
        <v>998.433</v>
      </c>
      <c r="G20" s="17" t="n">
        <v>846.287</v>
      </c>
      <c r="H20" s="17" t="n">
        <v>786.742</v>
      </c>
      <c r="I20" s="17" t="n">
        <v>1.203</v>
      </c>
      <c r="J20" s="18">
        <f>IF(G20=0,"",H20/G20)</f>
        <v/>
      </c>
      <c r="K20" s="19" t="n">
        <v>0.1916803631290232</v>
      </c>
      <c r="L20" s="19" t="n">
        <v>0.1170453590171612</v>
      </c>
      <c r="M20" s="18">
        <f>IF(H20=0,"",I20/H20)</f>
        <v/>
      </c>
      <c r="N20" s="19" t="n">
        <v>6.11068359625497</v>
      </c>
      <c r="O20" s="19" t="n">
        <v>0.003747952562306756</v>
      </c>
      <c r="P20" s="19" t="n">
        <v>0.08928564011325646</v>
      </c>
      <c r="Q20" s="18">
        <f>IF(OR(O20="",P20=""),"",O20-P20)</f>
        <v/>
      </c>
      <c r="R20" s="20" t="n"/>
      <c r="S20" s="20" t="n"/>
      <c r="T20" s="18" t="n"/>
      <c r="U20" s="20" t="n"/>
      <c r="V20" s="20" t="n"/>
      <c r="W20" s="18" t="n"/>
      <c r="X20" s="10" t="inlineStr">
        <is>
          <t>No HMDA mortgage reporting</t>
        </is>
      </c>
      <c r="Y20" s="20">
        <f>ROUND(100*(Scoring!$B$4*(1-IFERROR(PERCENTRANK($J$2:$J$46,J20),0.5))+Scoring!$B$5*IFERROR(PERCENTRANK($K$2:$K$46,K20),0.5)+Scoring!$B$6*IFERROR(PERCENTRANK($L$2:$L$46,L20),0.5)+Scoring!$B$7*IFERROR(PERCENTRANK($Q$2:$Q$46,Q20),0.5)+Scoring!$B$8*IFERROR(PERCENTRANK($N$2:$N$46,N20),0.5)+Scoring!$B$9*(1-IFERROR(PERCENTRANK($M$2:$M$46,M20),0.5))),0)</f>
        <v/>
      </c>
      <c r="Z20" s="10">
        <f>IF(AND(Y20&gt;=Scoring!$B$18,F20&gt;=Scoring!$B$20,X20&lt;&gt;"Already takes broker loans"),"Tier 1",IF(Y20&gt;=Scoring!$B$19,"Tier 2","Tier 3"))</f>
        <v/>
      </c>
      <c r="AA20" s="21" t="n"/>
      <c r="AB20" s="21" t="n"/>
    </row>
    <row r="21">
      <c r="A21" s="10" t="inlineStr">
        <is>
          <t>bank:58469</t>
        </is>
      </c>
      <c r="B21" s="10" t="inlineStr">
        <is>
          <t>American Plus Bank, N.A.</t>
        </is>
      </c>
      <c r="C21" s="10" t="inlineStr">
        <is>
          <t>Arcadia</t>
        </is>
      </c>
      <c r="D21" s="10" t="inlineStr">
        <is>
          <t>Los Angeles</t>
        </is>
      </c>
      <c r="E21" s="10" t="inlineStr">
        <is>
          <t>www.bankaplus.com</t>
        </is>
      </c>
      <c r="F21" s="17" t="n">
        <v>935.046</v>
      </c>
      <c r="G21" s="17" t="n">
        <v>747.9930000000001</v>
      </c>
      <c r="H21" s="17" t="n">
        <v>804.179</v>
      </c>
      <c r="I21" s="17" t="n">
        <v>37.578</v>
      </c>
      <c r="J21" s="18">
        <f>IF(G21=0,"",H21/G21)</f>
        <v/>
      </c>
      <c r="K21" s="19" t="n">
        <v>0.05104775593927999</v>
      </c>
      <c r="L21" s="19" t="n">
        <v>0.1646430305973774</v>
      </c>
      <c r="M21" s="18">
        <f>IF(H21=0,"",I21/H21)</f>
        <v/>
      </c>
      <c r="N21" s="19" t="n">
        <v>4.549202724195587</v>
      </c>
      <c r="O21" s="19" t="n">
        <v>0.04198195738421084</v>
      </c>
      <c r="P21" s="19" t="n">
        <v>0.04664743901772406</v>
      </c>
      <c r="Q21" s="18">
        <f>IF(OR(O21="",P21=""),"",O21-P21)</f>
        <v/>
      </c>
      <c r="R21" s="20" t="n"/>
      <c r="S21" s="20" t="n"/>
      <c r="T21" s="18" t="n"/>
      <c r="U21" s="20" t="n"/>
      <c r="V21" s="20" t="n"/>
      <c r="W21" s="18" t="n"/>
      <c r="X21" s="10" t="inlineStr">
        <is>
          <t>No HMDA mortgage reporting</t>
        </is>
      </c>
      <c r="Y21" s="20">
        <f>ROUND(100*(Scoring!$B$4*(1-IFERROR(PERCENTRANK($J$2:$J$46,J21),0.5))+Scoring!$B$5*IFERROR(PERCENTRANK($K$2:$K$46,K21),0.5)+Scoring!$B$6*IFERROR(PERCENTRANK($L$2:$L$46,L21),0.5)+Scoring!$B$7*IFERROR(PERCENTRANK($Q$2:$Q$46,Q21),0.5)+Scoring!$B$8*IFERROR(PERCENTRANK($N$2:$N$46,N21),0.5)+Scoring!$B$9*(1-IFERROR(PERCENTRANK($M$2:$M$46,M21),0.5))),0)</f>
        <v/>
      </c>
      <c r="Z21" s="10">
        <f>IF(AND(Y21&gt;=Scoring!$B$18,F21&gt;=Scoring!$B$20,X21&lt;&gt;"Already takes broker loans"),"Tier 1",IF(Y21&gt;=Scoring!$B$19,"Tier 2","Tier 3"))</f>
        <v/>
      </c>
      <c r="AA21" s="21" t="n"/>
      <c r="AB21" s="21" t="n"/>
    </row>
    <row r="22">
      <c r="A22" s="10" t="inlineStr">
        <is>
          <t>bank:34496</t>
        </is>
      </c>
      <c r="B22" s="10" t="inlineStr">
        <is>
          <t>First Commercial Bank (USA)</t>
        </is>
      </c>
      <c r="C22" s="10" t="inlineStr">
        <is>
          <t>Alhambra</t>
        </is>
      </c>
      <c r="D22" s="10" t="inlineStr">
        <is>
          <t>Los Angeles</t>
        </is>
      </c>
      <c r="E22" s="10" t="inlineStr">
        <is>
          <t>bankfcb.com</t>
        </is>
      </c>
      <c r="F22" s="17" t="n">
        <v>849.866</v>
      </c>
      <c r="G22" s="17" t="n">
        <v>646.751</v>
      </c>
      <c r="H22" s="17" t="n">
        <v>732.112</v>
      </c>
      <c r="I22" s="17" t="n">
        <v>228.306</v>
      </c>
      <c r="J22" s="18">
        <f>IF(G22=0,"",H22/G22)</f>
        <v/>
      </c>
      <c r="K22" s="19" t="n">
        <v>0.1253091663862303</v>
      </c>
      <c r="L22" s="19" t="n">
        <v>0.2326847573547422</v>
      </c>
      <c r="M22" s="18">
        <f>IF(H22=0,"",I22/H22)</f>
        <v/>
      </c>
      <c r="N22" s="19" t="n">
        <v>1.625511983851686</v>
      </c>
      <c r="O22" s="19" t="n">
        <v>0.04207612501349423</v>
      </c>
      <c r="P22" s="19" t="n">
        <v>0.06431583828944665</v>
      </c>
      <c r="Q22" s="18">
        <f>IF(OR(O22="",P22=""),"",O22-P22)</f>
        <v/>
      </c>
      <c r="R22" s="17" t="n">
        <v>47</v>
      </c>
      <c r="S22" s="17" t="n">
        <v>33.125</v>
      </c>
      <c r="T22" s="19" t="n">
        <v>0.9148936170212766</v>
      </c>
      <c r="U22" s="20" t="n"/>
      <c r="V22" s="17" t="n">
        <v>13</v>
      </c>
      <c r="W22" s="18" t="n"/>
      <c r="X22" s="10" t="inlineStr">
        <is>
          <t>Unknown (small filer, channel not reported)</t>
        </is>
      </c>
      <c r="Y22" s="20">
        <f>ROUND(100*(Scoring!$B$4*(1-IFERROR(PERCENTRANK($J$2:$J$46,J22),0.5))+Scoring!$B$5*IFERROR(PERCENTRANK($K$2:$K$46,K22),0.5)+Scoring!$B$6*IFERROR(PERCENTRANK($L$2:$L$46,L22),0.5)+Scoring!$B$7*IFERROR(PERCENTRANK($Q$2:$Q$46,Q22),0.5)+Scoring!$B$8*IFERROR(PERCENTRANK($N$2:$N$46,N22),0.5)+Scoring!$B$9*(1-IFERROR(PERCENTRANK($M$2:$M$46,M22),0.5))),0)</f>
        <v/>
      </c>
      <c r="Z22" s="10">
        <f>IF(AND(Y22&gt;=Scoring!$B$18,F22&gt;=Scoring!$B$20,X22&lt;&gt;"Already takes broker loans"),"Tier 1",IF(Y22&gt;=Scoring!$B$19,"Tier 2","Tier 3"))</f>
        <v/>
      </c>
      <c r="AA22" s="21" t="n"/>
      <c r="AB22" s="21" t="n"/>
    </row>
    <row r="23">
      <c r="A23" s="10" t="inlineStr">
        <is>
          <t>bank:57101</t>
        </is>
      </c>
      <c r="B23" s="10" t="inlineStr">
        <is>
          <t>Mission Valley Bank</t>
        </is>
      </c>
      <c r="C23" s="10" t="inlineStr">
        <is>
          <t>Sun Valley</t>
        </is>
      </c>
      <c r="D23" s="10" t="inlineStr">
        <is>
          <t>Los Angeles</t>
        </is>
      </c>
      <c r="E23" s="10" t="inlineStr">
        <is>
          <t>www.missionvalleybank.com</t>
        </is>
      </c>
      <c r="F23" s="17" t="n">
        <v>782.004</v>
      </c>
      <c r="G23" s="17" t="n">
        <v>615.3099999999999</v>
      </c>
      <c r="H23" s="17" t="n">
        <v>630.5069999999999</v>
      </c>
      <c r="I23" s="17" t="n">
        <v>10.562</v>
      </c>
      <c r="J23" s="18">
        <f>IF(G23=0,"",H23/G23)</f>
        <v/>
      </c>
      <c r="K23" s="19" t="n">
        <v>0.1429263788932026</v>
      </c>
      <c r="L23" s="19" t="n">
        <v>0.109954162545011</v>
      </c>
      <c r="M23" s="18">
        <f>IF(H23=0,"",I23/H23)</f>
        <v/>
      </c>
      <c r="N23" s="19" t="n">
        <v>2.254880341072572</v>
      </c>
      <c r="O23" s="19" t="n">
        <v>0.02625899400566412</v>
      </c>
      <c r="P23" s="19" t="n">
        <v>0.05727676699924533</v>
      </c>
      <c r="Q23" s="18">
        <f>IF(OR(O23="",P23=""),"",O23-P23)</f>
        <v/>
      </c>
      <c r="R23" s="20" t="n"/>
      <c r="S23" s="20" t="n"/>
      <c r="T23" s="18" t="n"/>
      <c r="U23" s="20" t="n"/>
      <c r="V23" s="20" t="n"/>
      <c r="W23" s="18" t="n"/>
      <c r="X23" s="10" t="inlineStr">
        <is>
          <t>No HMDA mortgage reporting</t>
        </is>
      </c>
      <c r="Y23" s="20">
        <f>ROUND(100*(Scoring!$B$4*(1-IFERROR(PERCENTRANK($J$2:$J$46,J23),0.5))+Scoring!$B$5*IFERROR(PERCENTRANK($K$2:$K$46,K23),0.5)+Scoring!$B$6*IFERROR(PERCENTRANK($L$2:$L$46,L23),0.5)+Scoring!$B$7*IFERROR(PERCENTRANK($Q$2:$Q$46,Q23),0.5)+Scoring!$B$8*IFERROR(PERCENTRANK($N$2:$N$46,N23),0.5)+Scoring!$B$9*(1-IFERROR(PERCENTRANK($M$2:$M$46,M23),0.5))),0)</f>
        <v/>
      </c>
      <c r="Z23" s="10">
        <f>IF(AND(Y23&gt;=Scoring!$B$18,F23&gt;=Scoring!$B$20,X23&lt;&gt;"Already takes broker loans"),"Tier 1",IF(Y23&gt;=Scoring!$B$19,"Tier 2","Tier 3"))</f>
        <v/>
      </c>
      <c r="AA23" s="21" t="n"/>
      <c r="AB23" s="21" t="n"/>
    </row>
    <row r="24">
      <c r="A24" s="10" t="inlineStr">
        <is>
          <t>bank:22366</t>
        </is>
      </c>
      <c r="B24" s="10" t="inlineStr">
        <is>
          <t>GBC International Bank</t>
        </is>
      </c>
      <c r="C24" s="10" t="inlineStr">
        <is>
          <t>Los Angeles</t>
        </is>
      </c>
      <c r="D24" s="10" t="inlineStr">
        <is>
          <t>Los Angeles</t>
        </is>
      </c>
      <c r="E24" s="10" t="inlineStr">
        <is>
          <t>http://www.gbcib.com</t>
        </is>
      </c>
      <c r="F24" s="17" t="n">
        <v>658.463</v>
      </c>
      <c r="G24" s="17" t="n">
        <v>504.604</v>
      </c>
      <c r="H24" s="17" t="n">
        <v>456.915</v>
      </c>
      <c r="I24" s="17" t="n">
        <v>2.133</v>
      </c>
      <c r="J24" s="18">
        <f>IF(G24=0,"",H24/G24)</f>
        <v/>
      </c>
      <c r="K24" s="19" t="n">
        <v>0.2867693401147824</v>
      </c>
      <c r="L24" s="19" t="n">
        <v>0.1594355543320846</v>
      </c>
      <c r="M24" s="18">
        <f>IF(H24=0,"",I24/H24)</f>
        <v/>
      </c>
      <c r="N24" s="19" t="n">
        <v>2.686322348172059</v>
      </c>
      <c r="O24" s="19" t="n">
        <v>-0.01589264226635434</v>
      </c>
      <c r="P24" s="19" t="n">
        <v>0.023759217227449</v>
      </c>
      <c r="Q24" s="18">
        <f>IF(OR(O24="",P24=""),"",O24-P24)</f>
        <v/>
      </c>
      <c r="R24" s="20" t="n"/>
      <c r="S24" s="20" t="n"/>
      <c r="T24" s="18" t="n"/>
      <c r="U24" s="20" t="n"/>
      <c r="V24" s="20" t="n"/>
      <c r="W24" s="18" t="n"/>
      <c r="X24" s="10" t="inlineStr">
        <is>
          <t>No HMDA mortgage reporting</t>
        </is>
      </c>
      <c r="Y24" s="20">
        <f>ROUND(100*(Scoring!$B$4*(1-IFERROR(PERCENTRANK($J$2:$J$46,J24),0.5))+Scoring!$B$5*IFERROR(PERCENTRANK($K$2:$K$46,K24),0.5)+Scoring!$B$6*IFERROR(PERCENTRANK($L$2:$L$46,L24),0.5)+Scoring!$B$7*IFERROR(PERCENTRANK($Q$2:$Q$46,Q24),0.5)+Scoring!$B$8*IFERROR(PERCENTRANK($N$2:$N$46,N24),0.5)+Scoring!$B$9*(1-IFERROR(PERCENTRANK($M$2:$M$46,M24),0.5))),0)</f>
        <v/>
      </c>
      <c r="Z24" s="10">
        <f>IF(AND(Y24&gt;=Scoring!$B$18,F24&gt;=Scoring!$B$20,X24&lt;&gt;"Already takes broker loans"),"Tier 1",IF(Y24&gt;=Scoring!$B$19,"Tier 2","Tier 3"))</f>
        <v/>
      </c>
      <c r="AA24" s="21" t="n"/>
      <c r="AB24" s="21" t="n"/>
    </row>
    <row r="25">
      <c r="A25" s="10" t="inlineStr">
        <is>
          <t>bank:58588</t>
        </is>
      </c>
      <c r="B25" s="10" t="inlineStr">
        <is>
          <t>Partners Bank of California</t>
        </is>
      </c>
      <c r="C25" s="10" t="inlineStr">
        <is>
          <t>Mission Viejo</t>
        </is>
      </c>
      <c r="D25" s="10" t="inlineStr">
        <is>
          <t>Orange</t>
        </is>
      </c>
      <c r="E25" s="10" t="inlineStr">
        <is>
          <t>www.partnersbankca.com</t>
        </is>
      </c>
      <c r="F25" s="17" t="n">
        <v>602.153</v>
      </c>
      <c r="G25" s="17" t="n">
        <v>508.991</v>
      </c>
      <c r="H25" s="17" t="n">
        <v>505.82</v>
      </c>
      <c r="I25" s="17" t="n">
        <v>64.001</v>
      </c>
      <c r="J25" s="18">
        <f>IF(G25=0,"",H25/G25)</f>
        <v/>
      </c>
      <c r="K25" s="19" t="n">
        <v>0.1581375497589483</v>
      </c>
      <c r="L25" s="19" t="n">
        <v>0.116732697698967</v>
      </c>
      <c r="M25" s="18">
        <f>IF(H25=0,"",I25/H25)</f>
        <v/>
      </c>
      <c r="N25" s="19" t="n">
        <v>3.650073934668638</v>
      </c>
      <c r="O25" s="19" t="n">
        <v>-0.1190650501484116</v>
      </c>
      <c r="P25" s="19" t="n">
        <v>0.2072566190036349</v>
      </c>
      <c r="Q25" s="18">
        <f>IF(OR(O25="",P25=""),"",O25-P25)</f>
        <v/>
      </c>
      <c r="R25" s="20" t="n"/>
      <c r="S25" s="20" t="n"/>
      <c r="T25" s="18" t="n"/>
      <c r="U25" s="20" t="n"/>
      <c r="V25" s="20" t="n"/>
      <c r="W25" s="18" t="n"/>
      <c r="X25" s="10" t="inlineStr">
        <is>
          <t>No HMDA mortgage reporting</t>
        </is>
      </c>
      <c r="Y25" s="20">
        <f>ROUND(100*(Scoring!$B$4*(1-IFERROR(PERCENTRANK($J$2:$J$46,J25),0.5))+Scoring!$B$5*IFERROR(PERCENTRANK($K$2:$K$46,K25),0.5)+Scoring!$B$6*IFERROR(PERCENTRANK($L$2:$L$46,L25),0.5)+Scoring!$B$7*IFERROR(PERCENTRANK($Q$2:$Q$46,Q25),0.5)+Scoring!$B$8*IFERROR(PERCENTRANK($N$2:$N$46,N25),0.5)+Scoring!$B$9*(1-IFERROR(PERCENTRANK($M$2:$M$46,M25),0.5))),0)</f>
        <v/>
      </c>
      <c r="Z25" s="10">
        <f>IF(AND(Y25&gt;=Scoring!$B$18,F25&gt;=Scoring!$B$20,X25&lt;&gt;"Already takes broker loans"),"Tier 1",IF(Y25&gt;=Scoring!$B$19,"Tier 2","Tier 3"))</f>
        <v/>
      </c>
      <c r="AA25" s="21" t="n"/>
      <c r="AB25" s="21" t="n"/>
    </row>
    <row r="26">
      <c r="A26" s="10" t="inlineStr">
        <is>
          <t>bank:23086</t>
        </is>
      </c>
      <c r="B26" s="10" t="inlineStr">
        <is>
          <t>New OMNI Bank, National Association</t>
        </is>
      </c>
      <c r="C26" s="10" t="inlineStr">
        <is>
          <t>Alhambra</t>
        </is>
      </c>
      <c r="D26" s="10" t="inlineStr">
        <is>
          <t>Los Angeles</t>
        </is>
      </c>
      <c r="E26" s="10" t="inlineStr">
        <is>
          <t>WWW.NEWOMNIBANK.COM</t>
        </is>
      </c>
      <c r="F26" s="17" t="n">
        <v>517.936</v>
      </c>
      <c r="G26" s="17" t="n">
        <v>373.759</v>
      </c>
      <c r="H26" s="17" t="n">
        <v>384.558</v>
      </c>
      <c r="I26" s="17" t="n">
        <v>165.411</v>
      </c>
      <c r="J26" s="18">
        <f>IF(G26=0,"",H26/G26)</f>
        <v/>
      </c>
      <c r="K26" s="19" t="n">
        <v>0.2183339254270798</v>
      </c>
      <c r="L26" s="19" t="n">
        <v>0.2711453813012303</v>
      </c>
      <c r="M26" s="18">
        <f>IF(H26=0,"",I26/H26)</f>
        <v/>
      </c>
      <c r="N26" s="19" t="n">
        <v>1.297762634391745</v>
      </c>
      <c r="O26" s="19" t="n">
        <v>-2.407910789581358e-05</v>
      </c>
      <c r="P26" s="19" t="n">
        <v>0.07715103609382257</v>
      </c>
      <c r="Q26" s="18">
        <f>IF(OR(O26="",P26=""),"",O26-P26)</f>
        <v/>
      </c>
      <c r="R26" s="20" t="n"/>
      <c r="S26" s="20" t="n"/>
      <c r="T26" s="18" t="n"/>
      <c r="U26" s="20" t="n"/>
      <c r="V26" s="20" t="n"/>
      <c r="W26" s="18" t="n"/>
      <c r="X26" s="10" t="inlineStr">
        <is>
          <t>No HMDA mortgage reporting</t>
        </is>
      </c>
      <c r="Y26" s="20">
        <f>ROUND(100*(Scoring!$B$4*(1-IFERROR(PERCENTRANK($J$2:$J$46,J26),0.5))+Scoring!$B$5*IFERROR(PERCENTRANK($K$2:$K$46,K26),0.5)+Scoring!$B$6*IFERROR(PERCENTRANK($L$2:$L$46,L26),0.5)+Scoring!$B$7*IFERROR(PERCENTRANK($Q$2:$Q$46,Q26),0.5)+Scoring!$B$8*IFERROR(PERCENTRANK($N$2:$N$46,N26),0.5)+Scoring!$B$9*(1-IFERROR(PERCENTRANK($M$2:$M$46,M26),0.5))),0)</f>
        <v/>
      </c>
      <c r="Z26" s="10">
        <f>IF(AND(Y26&gt;=Scoring!$B$18,F26&gt;=Scoring!$B$20,X26&lt;&gt;"Already takes broker loans"),"Tier 1",IF(Y26&gt;=Scoring!$B$19,"Tier 2","Tier 3"))</f>
        <v/>
      </c>
      <c r="AA26" s="21" t="n"/>
      <c r="AB26" s="21" t="n"/>
    </row>
    <row r="27">
      <c r="A27" s="10" t="inlineStr">
        <is>
          <t>bank:35366</t>
        </is>
      </c>
      <c r="B27" s="10" t="inlineStr">
        <is>
          <t>Chino Commercial Bank, N.A.</t>
        </is>
      </c>
      <c r="C27" s="10" t="inlineStr">
        <is>
          <t>Chino</t>
        </is>
      </c>
      <c r="D27" s="10" t="inlineStr">
        <is>
          <t>San Bernardino</t>
        </is>
      </c>
      <c r="E27" s="10" t="inlineStr">
        <is>
          <t>www.chinocommercialbank.com</t>
        </is>
      </c>
      <c r="F27" s="17" t="n">
        <v>516.688</v>
      </c>
      <c r="G27" s="17" t="n">
        <v>397.231</v>
      </c>
      <c r="H27" s="17" t="n">
        <v>239.264</v>
      </c>
      <c r="I27" s="17" t="n">
        <v>18.446</v>
      </c>
      <c r="J27" s="18">
        <f>IF(G27=0,"",H27/G27)</f>
        <v/>
      </c>
      <c r="K27" s="19" t="n">
        <v>0.4973813984454836</v>
      </c>
      <c r="L27" s="19" t="n">
        <v>0.1251050648735595</v>
      </c>
      <c r="M27" s="18">
        <f>IF(H27=0,"",I27/H27)</f>
        <v/>
      </c>
      <c r="N27" s="19" t="n">
        <v>2.129783098015142</v>
      </c>
      <c r="O27" s="19" t="n">
        <v>0.04866458815671715</v>
      </c>
      <c r="P27" s="19" t="n">
        <v>0.1629039548571789</v>
      </c>
      <c r="Q27" s="18">
        <f>IF(OR(O27="",P27=""),"",O27-P27)</f>
        <v/>
      </c>
      <c r="R27" s="20" t="n"/>
      <c r="S27" s="20" t="n"/>
      <c r="T27" s="18" t="n"/>
      <c r="U27" s="20" t="n"/>
      <c r="V27" s="20" t="n"/>
      <c r="W27" s="18" t="n"/>
      <c r="X27" s="10" t="inlineStr">
        <is>
          <t>No HMDA mortgage reporting</t>
        </is>
      </c>
      <c r="Y27" s="20">
        <f>ROUND(100*(Scoring!$B$4*(1-IFERROR(PERCENTRANK($J$2:$J$46,J27),0.5))+Scoring!$B$5*IFERROR(PERCENTRANK($K$2:$K$46,K27),0.5)+Scoring!$B$6*IFERROR(PERCENTRANK($L$2:$L$46,L27),0.5)+Scoring!$B$7*IFERROR(PERCENTRANK($Q$2:$Q$46,Q27),0.5)+Scoring!$B$8*IFERROR(PERCENTRANK($N$2:$N$46,N27),0.5)+Scoring!$B$9*(1-IFERROR(PERCENTRANK($M$2:$M$46,M27),0.5))),0)</f>
        <v/>
      </c>
      <c r="Z27" s="10">
        <f>IF(AND(Y27&gt;=Scoring!$B$18,F27&gt;=Scoring!$B$20,X27&lt;&gt;"Already takes broker loans"),"Tier 1",IF(Y27&gt;=Scoring!$B$19,"Tier 2","Tier 3"))</f>
        <v/>
      </c>
      <c r="AA27" s="21" t="n"/>
      <c r="AB27" s="21" t="n"/>
    </row>
    <row r="28">
      <c r="A28" s="10" t="inlineStr">
        <is>
          <t>bank:24332</t>
        </is>
      </c>
      <c r="B28" s="10" t="inlineStr">
        <is>
          <t>First Credit Bank</t>
        </is>
      </c>
      <c r="C28" s="10" t="inlineStr">
        <is>
          <t>Los Angeles</t>
        </is>
      </c>
      <c r="D28" s="10" t="inlineStr">
        <is>
          <t>Los Angeles</t>
        </is>
      </c>
      <c r="E28" s="10" t="inlineStr"/>
      <c r="F28" s="17" t="n">
        <v>515.8390000000001</v>
      </c>
      <c r="G28" s="17" t="n">
        <v>265.294</v>
      </c>
      <c r="H28" s="17" t="n">
        <v>408.96</v>
      </c>
      <c r="I28" s="17" t="n">
        <v>40.919</v>
      </c>
      <c r="J28" s="18">
        <f>IF(G28=0,"",H28/G28)</f>
        <v/>
      </c>
      <c r="K28" s="19" t="n">
        <v>0.1373568109429492</v>
      </c>
      <c r="L28" s="19" t="n">
        <v>0.4761444108606254</v>
      </c>
      <c r="M28" s="18">
        <f>IF(H28=0,"",I28/H28)</f>
        <v/>
      </c>
      <c r="N28" s="19" t="n">
        <v>1.101236981796734</v>
      </c>
      <c r="O28" s="19" t="n">
        <v>-0.06042393440881155</v>
      </c>
      <c r="P28" s="19" t="n">
        <v>-0.04769001490312963</v>
      </c>
      <c r="Q28" s="18">
        <f>IF(OR(O28="",P28=""),"",O28-P28)</f>
        <v/>
      </c>
      <c r="R28" s="20" t="n"/>
      <c r="S28" s="20" t="n"/>
      <c r="T28" s="18" t="n"/>
      <c r="U28" s="20" t="n"/>
      <c r="V28" s="20" t="n"/>
      <c r="W28" s="18" t="n"/>
      <c r="X28" s="10" t="inlineStr">
        <is>
          <t>No HMDA mortgage reporting</t>
        </is>
      </c>
      <c r="Y28" s="20">
        <f>ROUND(100*(Scoring!$B$4*(1-IFERROR(PERCENTRANK($J$2:$J$46,J28),0.5))+Scoring!$B$5*IFERROR(PERCENTRANK($K$2:$K$46,K28),0.5)+Scoring!$B$6*IFERROR(PERCENTRANK($L$2:$L$46,L28),0.5)+Scoring!$B$7*IFERROR(PERCENTRANK($Q$2:$Q$46,Q28),0.5)+Scoring!$B$8*IFERROR(PERCENTRANK($N$2:$N$46,N28),0.5)+Scoring!$B$9*(1-IFERROR(PERCENTRANK($M$2:$M$46,M28),0.5))),0)</f>
        <v/>
      </c>
      <c r="Z28" s="10">
        <f>IF(AND(Y28&gt;=Scoring!$B$18,F28&gt;=Scoring!$B$20,X28&lt;&gt;"Already takes broker loans"),"Tier 1",IF(Y28&gt;=Scoring!$B$19,"Tier 2","Tier 3"))</f>
        <v/>
      </c>
      <c r="AA28" s="21" t="n"/>
      <c r="AB28" s="21" t="n"/>
    </row>
    <row r="29">
      <c r="A29" s="10" t="inlineStr">
        <is>
          <t>bank:58218</t>
        </is>
      </c>
      <c r="B29" s="10" t="inlineStr">
        <is>
          <t>First Pacific Bank</t>
        </is>
      </c>
      <c r="C29" s="10" t="inlineStr">
        <is>
          <t>Whittier</t>
        </is>
      </c>
      <c r="D29" s="10" t="inlineStr">
        <is>
          <t>Los Angeles</t>
        </is>
      </c>
      <c r="E29" s="10" t="inlineStr">
        <is>
          <t>www.firstpacbank.com</t>
        </is>
      </c>
      <c r="F29" s="17" t="n">
        <v>514.36</v>
      </c>
      <c r="G29" s="17" t="n">
        <v>420.102</v>
      </c>
      <c r="H29" s="17" t="n">
        <v>352.887</v>
      </c>
      <c r="I29" s="17" t="n">
        <v>86.64700000000001</v>
      </c>
      <c r="J29" s="18">
        <f>IF(G29=0,"",H29/G29)</f>
        <v/>
      </c>
      <c r="K29" s="19" t="n">
        <v>0.1997997511470565</v>
      </c>
      <c r="L29" s="19" t="n">
        <v>0.09248190415156968</v>
      </c>
      <c r="M29" s="18">
        <f>IF(H29=0,"",I29/H29)</f>
        <v/>
      </c>
      <c r="N29" s="19" t="n">
        <v>2.43195793047763</v>
      </c>
      <c r="O29" s="19" t="n">
        <v>0.110849037894553</v>
      </c>
      <c r="P29" s="19" t="n">
        <v>0.1314506122370458</v>
      </c>
      <c r="Q29" s="18">
        <f>IF(OR(O29="",P29=""),"",O29-P29)</f>
        <v/>
      </c>
      <c r="R29" s="20" t="n"/>
      <c r="S29" s="20" t="n"/>
      <c r="T29" s="18" t="n"/>
      <c r="U29" s="20" t="n"/>
      <c r="V29" s="20" t="n"/>
      <c r="W29" s="18" t="n"/>
      <c r="X29" s="10" t="inlineStr">
        <is>
          <t>No HMDA mortgage reporting</t>
        </is>
      </c>
      <c r="Y29" s="20">
        <f>ROUND(100*(Scoring!$B$4*(1-IFERROR(PERCENTRANK($J$2:$J$46,J29),0.5))+Scoring!$B$5*IFERROR(PERCENTRANK($K$2:$K$46,K29),0.5)+Scoring!$B$6*IFERROR(PERCENTRANK($L$2:$L$46,L29),0.5)+Scoring!$B$7*IFERROR(PERCENTRANK($Q$2:$Q$46,Q29),0.5)+Scoring!$B$8*IFERROR(PERCENTRANK($N$2:$N$46,N29),0.5)+Scoring!$B$9*(1-IFERROR(PERCENTRANK($M$2:$M$46,M29),0.5))),0)</f>
        <v/>
      </c>
      <c r="Z29" s="10">
        <f>IF(AND(Y29&gt;=Scoring!$B$18,F29&gt;=Scoring!$B$20,X29&lt;&gt;"Already takes broker loans"),"Tier 1",IF(Y29&gt;=Scoring!$B$19,"Tier 2","Tier 3"))</f>
        <v/>
      </c>
      <c r="AA29" s="21" t="n"/>
      <c r="AB29" s="21" t="n"/>
    </row>
    <row r="30">
      <c r="A30" s="10" t="inlineStr">
        <is>
          <t>bank:58401</t>
        </is>
      </c>
      <c r="B30" s="10" t="inlineStr">
        <is>
          <t>Mega Bank</t>
        </is>
      </c>
      <c r="C30" s="10" t="inlineStr">
        <is>
          <t>San Gabriel</t>
        </is>
      </c>
      <c r="D30" s="10" t="inlineStr">
        <is>
          <t>Los Angeles</t>
        </is>
      </c>
      <c r="E30" s="10" t="inlineStr">
        <is>
          <t>https://www.megabankusa.com</t>
        </is>
      </c>
      <c r="F30" s="17" t="n">
        <v>506.664</v>
      </c>
      <c r="G30" s="17" t="n">
        <v>426.08</v>
      </c>
      <c r="H30" s="17" t="n">
        <v>433.1</v>
      </c>
      <c r="I30" s="17" t="n">
        <v>23.392</v>
      </c>
      <c r="J30" s="18">
        <f>IF(G30=0,"",H30/G30)</f>
        <v/>
      </c>
      <c r="K30" s="19" t="n">
        <v>0.1052314749024995</v>
      </c>
      <c r="L30" s="19" t="n">
        <v>0.1443334202218554</v>
      </c>
      <c r="M30" s="18">
        <f>IF(H30=0,"",I30/H30)</f>
        <v/>
      </c>
      <c r="N30" s="19" t="n">
        <v>3.725041628352014</v>
      </c>
      <c r="O30" s="19" t="n">
        <v>-0.01955460239588747</v>
      </c>
      <c r="P30" s="19" t="n">
        <v>0.04923481686237352</v>
      </c>
      <c r="Q30" s="18">
        <f>IF(OR(O30="",P30=""),"",O30-P30)</f>
        <v/>
      </c>
      <c r="R30" s="20" t="n"/>
      <c r="S30" s="20" t="n"/>
      <c r="T30" s="18" t="n"/>
      <c r="U30" s="20" t="n"/>
      <c r="V30" s="20" t="n"/>
      <c r="W30" s="18" t="n"/>
      <c r="X30" s="10" t="inlineStr">
        <is>
          <t>No HMDA mortgage reporting</t>
        </is>
      </c>
      <c r="Y30" s="20">
        <f>ROUND(100*(Scoring!$B$4*(1-IFERROR(PERCENTRANK($J$2:$J$46,J30),0.5))+Scoring!$B$5*IFERROR(PERCENTRANK($K$2:$K$46,K30),0.5)+Scoring!$B$6*IFERROR(PERCENTRANK($L$2:$L$46,L30),0.5)+Scoring!$B$7*IFERROR(PERCENTRANK($Q$2:$Q$46,Q30),0.5)+Scoring!$B$8*IFERROR(PERCENTRANK($N$2:$N$46,N30),0.5)+Scoring!$B$9*(1-IFERROR(PERCENTRANK($M$2:$M$46,M30),0.5))),0)</f>
        <v/>
      </c>
      <c r="Z30" s="10">
        <f>IF(AND(Y30&gt;=Scoring!$B$18,F30&gt;=Scoring!$B$20,X30&lt;&gt;"Already takes broker loans"),"Tier 1",IF(Y30&gt;=Scoring!$B$19,"Tier 2","Tier 3"))</f>
        <v/>
      </c>
      <c r="AA30" s="21" t="n"/>
      <c r="AB30" s="21" t="n"/>
    </row>
    <row r="31">
      <c r="A31" s="10" t="inlineStr">
        <is>
          <t>bank:58234</t>
        </is>
      </c>
      <c r="B31" s="10" t="inlineStr">
        <is>
          <t>Pacific Alliance Bank</t>
        </is>
      </c>
      <c r="C31" s="10" t="inlineStr">
        <is>
          <t>San Gabriel</t>
        </is>
      </c>
      <c r="D31" s="10" t="inlineStr">
        <is>
          <t>Los Angeles</t>
        </is>
      </c>
      <c r="E31" s="10" t="inlineStr">
        <is>
          <t>www.pacificalliancebank.com</t>
        </is>
      </c>
      <c r="F31" s="17" t="n">
        <v>454.372</v>
      </c>
      <c r="G31" s="17" t="n">
        <v>369.168</v>
      </c>
      <c r="H31" s="17" t="n">
        <v>347.994</v>
      </c>
      <c r="I31" s="17" t="n">
        <v>44.68</v>
      </c>
      <c r="J31" s="18">
        <f>IF(G31=0,"",H31/G31)</f>
        <v/>
      </c>
      <c r="K31" s="19" t="n">
        <v>0.180019895592158</v>
      </c>
      <c r="L31" s="19" t="n">
        <v>0.1337066784024645</v>
      </c>
      <c r="M31" s="18">
        <f>IF(H31=0,"",I31/H31)</f>
        <v/>
      </c>
      <c r="N31" s="19" t="n">
        <v>4.069038724223623</v>
      </c>
      <c r="O31" s="19" t="n">
        <v>0.06068128533995321</v>
      </c>
      <c r="P31" s="19" t="n">
        <v>0.002879004020230891</v>
      </c>
      <c r="Q31" s="18">
        <f>IF(OR(O31="",P31=""),"",O31-P31)</f>
        <v/>
      </c>
      <c r="R31" s="20" t="n"/>
      <c r="S31" s="20" t="n"/>
      <c r="T31" s="18" t="n"/>
      <c r="U31" s="20" t="n"/>
      <c r="V31" s="20" t="n"/>
      <c r="W31" s="18" t="n"/>
      <c r="X31" s="10" t="inlineStr">
        <is>
          <t>No HMDA mortgage reporting</t>
        </is>
      </c>
      <c r="Y31" s="20">
        <f>ROUND(100*(Scoring!$B$4*(1-IFERROR(PERCENTRANK($J$2:$J$46,J31),0.5))+Scoring!$B$5*IFERROR(PERCENTRANK($K$2:$K$46,K31),0.5)+Scoring!$B$6*IFERROR(PERCENTRANK($L$2:$L$46,L31),0.5)+Scoring!$B$7*IFERROR(PERCENTRANK($Q$2:$Q$46,Q31),0.5)+Scoring!$B$8*IFERROR(PERCENTRANK($N$2:$N$46,N31),0.5)+Scoring!$B$9*(1-IFERROR(PERCENTRANK($M$2:$M$46,M31),0.5))),0)</f>
        <v/>
      </c>
      <c r="Z31" s="10">
        <f>IF(AND(Y31&gt;=Scoring!$B$18,F31&gt;=Scoring!$B$20,X31&lt;&gt;"Already takes broker loans"),"Tier 1",IF(Y31&gt;=Scoring!$B$19,"Tier 2","Tier 3"))</f>
        <v/>
      </c>
      <c r="AA31" s="21" t="n"/>
      <c r="AB31" s="21" t="n"/>
    </row>
    <row r="32">
      <c r="A32" s="10" t="inlineStr">
        <is>
          <t>bank:26363</t>
        </is>
      </c>
      <c r="B32" s="10" t="inlineStr">
        <is>
          <t>Community Commerce Bank</t>
        </is>
      </c>
      <c r="C32" s="10" t="inlineStr">
        <is>
          <t>Claremont</t>
        </is>
      </c>
      <c r="D32" s="10" t="inlineStr">
        <is>
          <t>Los Angeles</t>
        </is>
      </c>
      <c r="E32" s="10" t="inlineStr">
        <is>
          <t>www.ccombank.com</t>
        </is>
      </c>
      <c r="F32" s="17" t="n">
        <v>422.736</v>
      </c>
      <c r="G32" s="17" t="n">
        <v>317.509</v>
      </c>
      <c r="H32" s="17" t="n">
        <v>317.747</v>
      </c>
      <c r="I32" s="17" t="n">
        <v>11.126</v>
      </c>
      <c r="J32" s="18">
        <f>IF(G32=0,"",H32/G32)</f>
        <v/>
      </c>
      <c r="K32" s="19" t="n">
        <v>0.1499919571552931</v>
      </c>
      <c r="L32" s="19" t="n">
        <v>0.1525325782310959</v>
      </c>
      <c r="M32" s="18">
        <f>IF(H32=0,"",I32/H32)</f>
        <v/>
      </c>
      <c r="N32" s="19" t="n">
        <v>2.249111223971559</v>
      </c>
      <c r="O32" s="19" t="n">
        <v>0.06376014312612654</v>
      </c>
      <c r="P32" s="19" t="n">
        <v>0.08116927306629651</v>
      </c>
      <c r="Q32" s="18">
        <f>IF(OR(O32="",P32=""),"",O32-P32)</f>
        <v/>
      </c>
      <c r="R32" s="20" t="n"/>
      <c r="S32" s="20" t="n"/>
      <c r="T32" s="18" t="n"/>
      <c r="U32" s="20" t="n"/>
      <c r="V32" s="20" t="n"/>
      <c r="W32" s="18" t="n"/>
      <c r="X32" s="10" t="inlineStr">
        <is>
          <t>No HMDA mortgage reporting</t>
        </is>
      </c>
      <c r="Y32" s="20">
        <f>ROUND(100*(Scoring!$B$4*(1-IFERROR(PERCENTRANK($J$2:$J$46,J32),0.5))+Scoring!$B$5*IFERROR(PERCENTRANK($K$2:$K$46,K32),0.5)+Scoring!$B$6*IFERROR(PERCENTRANK($L$2:$L$46,L32),0.5)+Scoring!$B$7*IFERROR(PERCENTRANK($Q$2:$Q$46,Q32),0.5)+Scoring!$B$8*IFERROR(PERCENTRANK($N$2:$N$46,N32),0.5)+Scoring!$B$9*(1-IFERROR(PERCENTRANK($M$2:$M$46,M32),0.5))),0)</f>
        <v/>
      </c>
      <c r="Z32" s="10">
        <f>IF(AND(Y32&gt;=Scoring!$B$18,F32&gt;=Scoring!$B$20,X32&lt;&gt;"Already takes broker loans"),"Tier 1",IF(Y32&gt;=Scoring!$B$19,"Tier 2","Tier 3"))</f>
        <v/>
      </c>
      <c r="AA32" s="21" t="n"/>
      <c r="AB32" s="21" t="n"/>
    </row>
    <row r="33">
      <c r="A33" s="10" t="inlineStr">
        <is>
          <t>bank:35331</t>
        </is>
      </c>
      <c r="B33" s="10" t="inlineStr">
        <is>
          <t>Liberty Bank, National Association</t>
        </is>
      </c>
      <c r="C33" s="10" t="inlineStr">
        <is>
          <t>Irvine</t>
        </is>
      </c>
      <c r="D33" s="10" t="inlineStr">
        <is>
          <t>Orange</t>
        </is>
      </c>
      <c r="E33" s="10" t="inlineStr">
        <is>
          <t>www.libertybk.com</t>
        </is>
      </c>
      <c r="F33" s="17" t="n">
        <v>399.182</v>
      </c>
      <c r="G33" s="17" t="n">
        <v>336.266</v>
      </c>
      <c r="H33" s="17" t="n">
        <v>329.379</v>
      </c>
      <c r="I33" s="17" t="n">
        <v>22.579</v>
      </c>
      <c r="J33" s="18">
        <f>IF(G33=0,"",H33/G33)</f>
        <v/>
      </c>
      <c r="K33" s="19" t="n">
        <v>0.1529152116077378</v>
      </c>
      <c r="L33" s="19" t="n">
        <v>0.1444236342900191</v>
      </c>
      <c r="M33" s="18">
        <f>IF(H33=0,"",I33/H33)</f>
        <v/>
      </c>
      <c r="N33" s="19" t="n">
        <v>4.801119447421698</v>
      </c>
      <c r="O33" s="19" t="n">
        <v>0.02633080921379927</v>
      </c>
      <c r="P33" s="19" t="n">
        <v>-0.1264755256995403</v>
      </c>
      <c r="Q33" s="18">
        <f>IF(OR(O33="",P33=""),"",O33-P33)</f>
        <v/>
      </c>
      <c r="R33" s="20" t="n"/>
      <c r="S33" s="20" t="n"/>
      <c r="T33" s="18" t="n"/>
      <c r="U33" s="20" t="n"/>
      <c r="V33" s="20" t="n"/>
      <c r="W33" s="18" t="n"/>
      <c r="X33" s="10" t="inlineStr">
        <is>
          <t>No HMDA mortgage reporting</t>
        </is>
      </c>
      <c r="Y33" s="20">
        <f>ROUND(100*(Scoring!$B$4*(1-IFERROR(PERCENTRANK($J$2:$J$46,J33),0.5))+Scoring!$B$5*IFERROR(PERCENTRANK($K$2:$K$46,K33),0.5)+Scoring!$B$6*IFERROR(PERCENTRANK($L$2:$L$46,L33),0.5)+Scoring!$B$7*IFERROR(PERCENTRANK($Q$2:$Q$46,Q33),0.5)+Scoring!$B$8*IFERROR(PERCENTRANK($N$2:$N$46,N33),0.5)+Scoring!$B$9*(1-IFERROR(PERCENTRANK($M$2:$M$46,M33),0.5))),0)</f>
        <v/>
      </c>
      <c r="Z33" s="10">
        <f>IF(AND(Y33&gt;=Scoring!$B$18,F33&gt;=Scoring!$B$20,X33&lt;&gt;"Already takes broker loans"),"Tier 1",IF(Y33&gt;=Scoring!$B$19,"Tier 2","Tier 3"))</f>
        <v/>
      </c>
      <c r="AA33" s="21" t="n"/>
      <c r="AB33" s="21" t="n"/>
    </row>
    <row r="34">
      <c r="A34" s="10" t="inlineStr">
        <is>
          <t>bank:30722</t>
        </is>
      </c>
      <c r="B34" s="10" t="inlineStr">
        <is>
          <t>Universal Bank</t>
        </is>
      </c>
      <c r="C34" s="10" t="inlineStr">
        <is>
          <t>West Covina</t>
        </is>
      </c>
      <c r="D34" s="10" t="inlineStr">
        <is>
          <t>Los Angeles</t>
        </is>
      </c>
      <c r="E34" s="10" t="inlineStr">
        <is>
          <t>https://www.universalbank.com</t>
        </is>
      </c>
      <c r="F34" s="17" t="n">
        <v>388.009</v>
      </c>
      <c r="G34" s="17" t="n">
        <v>275.101</v>
      </c>
      <c r="H34" s="17" t="n">
        <v>261.579</v>
      </c>
      <c r="I34" s="17" t="n">
        <v>8.968999999999999</v>
      </c>
      <c r="J34" s="18">
        <f>IF(G34=0,"",H34/G34)</f>
        <v/>
      </c>
      <c r="K34" s="19" t="n">
        <v>0.2676097719382798</v>
      </c>
      <c r="L34" s="19" t="n">
        <v>0.1780108822813533</v>
      </c>
      <c r="M34" s="18">
        <f>IF(H34=0,"",I34/H34)</f>
        <v/>
      </c>
      <c r="N34" s="19" t="n">
        <v>3.472477064220183</v>
      </c>
      <c r="O34" s="19" t="n">
        <v>0.03382562946260803</v>
      </c>
      <c r="P34" s="19" t="n">
        <v>-0.06724172360182001</v>
      </c>
      <c r="Q34" s="18">
        <f>IF(OR(O34="",P34=""),"",O34-P34)</f>
        <v/>
      </c>
      <c r="R34" s="20" t="n"/>
      <c r="S34" s="20" t="n"/>
      <c r="T34" s="18" t="n"/>
      <c r="U34" s="20" t="n"/>
      <c r="V34" s="20" t="n"/>
      <c r="W34" s="18" t="n"/>
      <c r="X34" s="10" t="inlineStr">
        <is>
          <t>No HMDA mortgage reporting</t>
        </is>
      </c>
      <c r="Y34" s="20">
        <f>ROUND(100*(Scoring!$B$4*(1-IFERROR(PERCENTRANK($J$2:$J$46,J34),0.5))+Scoring!$B$5*IFERROR(PERCENTRANK($K$2:$K$46,K34),0.5)+Scoring!$B$6*IFERROR(PERCENTRANK($L$2:$L$46,L34),0.5)+Scoring!$B$7*IFERROR(PERCENTRANK($Q$2:$Q$46,Q34),0.5)+Scoring!$B$8*IFERROR(PERCENTRANK($N$2:$N$46,N34),0.5)+Scoring!$B$9*(1-IFERROR(PERCENTRANK($M$2:$M$46,M34),0.5))),0)</f>
        <v/>
      </c>
      <c r="Z34" s="10">
        <f>IF(AND(Y34&gt;=Scoring!$B$18,F34&gt;=Scoring!$B$20,X34&lt;&gt;"Already takes broker loans"),"Tier 1",IF(Y34&gt;=Scoring!$B$19,"Tier 2","Tier 3"))</f>
        <v/>
      </c>
      <c r="AA34" s="21" t="n"/>
      <c r="AB34" s="21" t="n"/>
    </row>
    <row r="35">
      <c r="A35" s="10" t="inlineStr">
        <is>
          <t>bank:57444</t>
        </is>
      </c>
      <c r="B35" s="10" t="inlineStr">
        <is>
          <t>American Continental Bank</t>
        </is>
      </c>
      <c r="C35" s="10" t="inlineStr">
        <is>
          <t>City Of Industry</t>
        </is>
      </c>
      <c r="D35" s="10" t="inlineStr">
        <is>
          <t>Los Angeles</t>
        </is>
      </c>
      <c r="E35" s="10" t="inlineStr">
        <is>
          <t>http://www.americancontinentalbank.com</t>
        </is>
      </c>
      <c r="F35" s="17" t="n">
        <v>385.265</v>
      </c>
      <c r="G35" s="17" t="n">
        <v>316.728</v>
      </c>
      <c r="H35" s="17" t="n">
        <v>287.221</v>
      </c>
      <c r="I35" s="17" t="n">
        <v>114.266</v>
      </c>
      <c r="J35" s="18">
        <f>IF(G35=0,"",H35/G35)</f>
        <v/>
      </c>
      <c r="K35" s="19" t="n">
        <v>0.2269450897434234</v>
      </c>
      <c r="L35" s="19" t="n">
        <v>0.1623315740126207</v>
      </c>
      <c r="M35" s="18">
        <f>IF(H35=0,"",I35/H35)</f>
        <v/>
      </c>
      <c r="N35" s="19" t="n">
        <v>1.956389123239665</v>
      </c>
      <c r="O35" s="19" t="n">
        <v>0.07214959345190142</v>
      </c>
      <c r="P35" s="19" t="n">
        <v>0.01310020563866154</v>
      </c>
      <c r="Q35" s="18">
        <f>IF(OR(O35="",P35=""),"",O35-P35)</f>
        <v/>
      </c>
      <c r="R35" s="17" t="n">
        <v>42</v>
      </c>
      <c r="S35" s="17" t="n">
        <v>47.29</v>
      </c>
      <c r="T35" s="19" t="n">
        <v>1</v>
      </c>
      <c r="U35" s="20" t="n"/>
      <c r="V35" s="17" t="n">
        <v>21</v>
      </c>
      <c r="W35" s="18" t="n"/>
      <c r="X35" s="10" t="inlineStr">
        <is>
          <t>Unknown (small filer, channel not reported)</t>
        </is>
      </c>
      <c r="Y35" s="20">
        <f>ROUND(100*(Scoring!$B$4*(1-IFERROR(PERCENTRANK($J$2:$J$46,J35),0.5))+Scoring!$B$5*IFERROR(PERCENTRANK($K$2:$K$46,K35),0.5)+Scoring!$B$6*IFERROR(PERCENTRANK($L$2:$L$46,L35),0.5)+Scoring!$B$7*IFERROR(PERCENTRANK($Q$2:$Q$46,Q35),0.5)+Scoring!$B$8*IFERROR(PERCENTRANK($N$2:$N$46,N35),0.5)+Scoring!$B$9*(1-IFERROR(PERCENTRANK($M$2:$M$46,M35),0.5))),0)</f>
        <v/>
      </c>
      <c r="Z35" s="10">
        <f>IF(AND(Y35&gt;=Scoring!$B$18,F35&gt;=Scoring!$B$20,X35&lt;&gt;"Already takes broker loans"),"Tier 1",IF(Y35&gt;=Scoring!$B$19,"Tier 2","Tier 3"))</f>
        <v/>
      </c>
      <c r="AA35" s="21" t="n"/>
      <c r="AB35" s="21" t="n"/>
    </row>
    <row r="36">
      <c r="A36" s="10" t="inlineStr">
        <is>
          <t>bank:59098</t>
        </is>
      </c>
      <c r="B36" s="10" t="inlineStr">
        <is>
          <t>Infinity Bank</t>
        </is>
      </c>
      <c r="C36" s="10" t="inlineStr">
        <is>
          <t>Santa Ana</t>
        </is>
      </c>
      <c r="D36" s="10" t="inlineStr">
        <is>
          <t>Orange</t>
        </is>
      </c>
      <c r="E36" s="10" t="inlineStr">
        <is>
          <t>www.infinity.bank</t>
        </is>
      </c>
      <c r="F36" s="17" t="n">
        <v>359.51</v>
      </c>
      <c r="G36" s="17" t="n">
        <v>310.467</v>
      </c>
      <c r="H36" s="17" t="n">
        <v>255.149</v>
      </c>
      <c r="I36" s="17" t="n">
        <v>54.112</v>
      </c>
      <c r="J36" s="18">
        <f>IF(G36=0,"",H36/G36)</f>
        <v/>
      </c>
      <c r="K36" s="19" t="n">
        <v>0.2852187699924898</v>
      </c>
      <c r="L36" s="19" t="n">
        <v>0.130318075755715</v>
      </c>
      <c r="M36" s="18">
        <f>IF(H36=0,"",I36/H36)</f>
        <v/>
      </c>
      <c r="N36" s="19" t="n">
        <v>1.13292084897709</v>
      </c>
      <c r="O36" s="19" t="n">
        <v>0.06462132486575078</v>
      </c>
      <c r="P36" s="19" t="n">
        <v>0.1526844121580109</v>
      </c>
      <c r="Q36" s="18">
        <f>IF(OR(O36="",P36=""),"",O36-P36)</f>
        <v/>
      </c>
      <c r="R36" s="20" t="n"/>
      <c r="S36" s="20" t="n"/>
      <c r="T36" s="18" t="n"/>
      <c r="U36" s="20" t="n"/>
      <c r="V36" s="20" t="n"/>
      <c r="W36" s="18" t="n"/>
      <c r="X36" s="10" t="inlineStr">
        <is>
          <t>No HMDA mortgage reporting</t>
        </is>
      </c>
      <c r="Y36" s="20">
        <f>ROUND(100*(Scoring!$B$4*(1-IFERROR(PERCENTRANK($J$2:$J$46,J36),0.5))+Scoring!$B$5*IFERROR(PERCENTRANK($K$2:$K$46,K36),0.5)+Scoring!$B$6*IFERROR(PERCENTRANK($L$2:$L$46,L36),0.5)+Scoring!$B$7*IFERROR(PERCENTRANK($Q$2:$Q$46,Q36),0.5)+Scoring!$B$8*IFERROR(PERCENTRANK($N$2:$N$46,N36),0.5)+Scoring!$B$9*(1-IFERROR(PERCENTRANK($M$2:$M$46,M36),0.5))),0)</f>
        <v/>
      </c>
      <c r="Z36" s="10">
        <f>IF(AND(Y36&gt;=Scoring!$B$18,F36&gt;=Scoring!$B$20,X36&lt;&gt;"Already takes broker loans"),"Tier 1",IF(Y36&gt;=Scoring!$B$19,"Tier 2","Tier 3"))</f>
        <v/>
      </c>
      <c r="AA36" s="21" t="n"/>
      <c r="AB36" s="21" t="n"/>
    </row>
    <row r="37">
      <c r="A37" s="10" t="inlineStr">
        <is>
          <t>bank:59245</t>
        </is>
      </c>
      <c r="B37" s="10" t="inlineStr">
        <is>
          <t>Genesis Bank</t>
        </is>
      </c>
      <c r="C37" s="10" t="inlineStr">
        <is>
          <t>Newport Beach</t>
        </is>
      </c>
      <c r="D37" s="10" t="inlineStr">
        <is>
          <t>Orange</t>
        </is>
      </c>
      <c r="E37" s="10" t="inlineStr">
        <is>
          <t>www.mygenesisbank.com</t>
        </is>
      </c>
      <c r="F37" s="17" t="n">
        <v>340.254</v>
      </c>
      <c r="G37" s="17" t="n">
        <v>292.418</v>
      </c>
      <c r="H37" s="17" t="n">
        <v>260.819</v>
      </c>
      <c r="I37" s="17" t="n">
        <v>12.279</v>
      </c>
      <c r="J37" s="18">
        <f>IF(G37=0,"",H37/G37)</f>
        <v/>
      </c>
      <c r="K37" s="19" t="n">
        <v>0.1972114949420139</v>
      </c>
      <c r="L37" s="19" t="n">
        <v>0.1101238578249112</v>
      </c>
      <c r="M37" s="18">
        <f>IF(H37=0,"",I37/H37)</f>
        <v/>
      </c>
      <c r="N37" s="19" t="n">
        <v>4.415738695279744</v>
      </c>
      <c r="O37" s="19" t="n">
        <v>-0.3193550564570002</v>
      </c>
      <c r="P37" s="19" t="n">
        <v>-0.1356425373406375</v>
      </c>
      <c r="Q37" s="18">
        <f>IF(OR(O37="",P37=""),"",O37-P37)</f>
        <v/>
      </c>
      <c r="R37" s="20" t="n"/>
      <c r="S37" s="20" t="n"/>
      <c r="T37" s="18" t="n"/>
      <c r="U37" s="20" t="n"/>
      <c r="V37" s="20" t="n"/>
      <c r="W37" s="18" t="n"/>
      <c r="X37" s="10" t="inlineStr">
        <is>
          <t>No HMDA mortgage reporting</t>
        </is>
      </c>
      <c r="Y37" s="20">
        <f>ROUND(100*(Scoring!$B$4*(1-IFERROR(PERCENTRANK($J$2:$J$46,J37),0.5))+Scoring!$B$5*IFERROR(PERCENTRANK($K$2:$K$46,K37),0.5)+Scoring!$B$6*IFERROR(PERCENTRANK($L$2:$L$46,L37),0.5)+Scoring!$B$7*IFERROR(PERCENTRANK($Q$2:$Q$46,Q37),0.5)+Scoring!$B$8*IFERROR(PERCENTRANK($N$2:$N$46,N37),0.5)+Scoring!$B$9*(1-IFERROR(PERCENTRANK($M$2:$M$46,M37),0.5))),0)</f>
        <v/>
      </c>
      <c r="Z37" s="10">
        <f>IF(AND(Y37&gt;=Scoring!$B$18,F37&gt;=Scoring!$B$20,X37&lt;&gt;"Already takes broker loans"),"Tier 1",IF(Y37&gt;=Scoring!$B$19,"Tier 2","Tier 3"))</f>
        <v/>
      </c>
      <c r="AA37" s="21" t="n"/>
      <c r="AB37" s="21" t="n"/>
    </row>
    <row r="38">
      <c r="A38" s="10" t="inlineStr">
        <is>
          <t>bank:59296</t>
        </is>
      </c>
      <c r="B38" s="10" t="inlineStr">
        <is>
          <t>Bank Irvine</t>
        </is>
      </c>
      <c r="C38" s="10" t="inlineStr">
        <is>
          <t>Irvine</t>
        </is>
      </c>
      <c r="D38" s="10" t="inlineStr">
        <is>
          <t>Orange</t>
        </is>
      </c>
      <c r="E38" s="10" t="inlineStr">
        <is>
          <t>www.bankirvine.com</t>
        </is>
      </c>
      <c r="F38" s="17" t="n">
        <v>305.639</v>
      </c>
      <c r="G38" s="17" t="n">
        <v>234.749</v>
      </c>
      <c r="H38" s="17" t="n">
        <v>238.563</v>
      </c>
      <c r="I38" s="17" t="n">
        <v>144.099</v>
      </c>
      <c r="J38" s="18">
        <f>IF(G38=0,"",H38/G38)</f>
        <v/>
      </c>
      <c r="K38" s="19" t="n">
        <v>0.2173871789922098</v>
      </c>
      <c r="L38" s="19" t="n">
        <v>0.2276277703796075</v>
      </c>
      <c r="M38" s="18">
        <f>IF(H38=0,"",I38/H38)</f>
        <v/>
      </c>
      <c r="N38" s="19" t="n">
        <v>0.8136514475340428</v>
      </c>
      <c r="O38" s="19" t="n">
        <v>0.4293655964392054</v>
      </c>
      <c r="P38" s="19" t="n">
        <v>0.2644190508496136</v>
      </c>
      <c r="Q38" s="18">
        <f>IF(OR(O38="",P38=""),"",O38-P38)</f>
        <v/>
      </c>
      <c r="R38" s="20" t="n"/>
      <c r="S38" s="20" t="n"/>
      <c r="T38" s="18" t="n"/>
      <c r="U38" s="20" t="n"/>
      <c r="V38" s="20" t="n"/>
      <c r="W38" s="18" t="n"/>
      <c r="X38" s="10" t="inlineStr">
        <is>
          <t>No HMDA mortgage reporting</t>
        </is>
      </c>
      <c r="Y38" s="20">
        <f>ROUND(100*(Scoring!$B$4*(1-IFERROR(PERCENTRANK($J$2:$J$46,J38),0.5))+Scoring!$B$5*IFERROR(PERCENTRANK($K$2:$K$46,K38),0.5)+Scoring!$B$6*IFERROR(PERCENTRANK($L$2:$L$46,L38),0.5)+Scoring!$B$7*IFERROR(PERCENTRANK($Q$2:$Q$46,Q38),0.5)+Scoring!$B$8*IFERROR(PERCENTRANK($N$2:$N$46,N38),0.5)+Scoring!$B$9*(1-IFERROR(PERCENTRANK($M$2:$M$46,M38),0.5))),0)</f>
        <v/>
      </c>
      <c r="Z38" s="10">
        <f>IF(AND(Y38&gt;=Scoring!$B$18,F38&gt;=Scoring!$B$20,X38&lt;&gt;"Already takes broker loans"),"Tier 1",IF(Y38&gt;=Scoring!$B$19,"Tier 2","Tier 3"))</f>
        <v/>
      </c>
      <c r="AA38" s="21" t="n"/>
      <c r="AB38" s="21" t="n"/>
    </row>
    <row r="39">
      <c r="A39" s="10" t="inlineStr">
        <is>
          <t>bank:23805</t>
        </is>
      </c>
      <c r="B39" s="10" t="inlineStr">
        <is>
          <t>United Pacific Bank</t>
        </is>
      </c>
      <c r="C39" s="10" t="inlineStr">
        <is>
          <t>City Of Industry</t>
        </is>
      </c>
      <c r="D39" s="10" t="inlineStr">
        <is>
          <t>Los Angeles</t>
        </is>
      </c>
      <c r="E39" s="10" t="inlineStr">
        <is>
          <t>www.upbnet.com</t>
        </is>
      </c>
      <c r="F39" s="17" t="n">
        <v>191.036</v>
      </c>
      <c r="G39" s="17" t="n">
        <v>156.802</v>
      </c>
      <c r="H39" s="17" t="n">
        <v>154.49</v>
      </c>
      <c r="I39" s="17" t="n">
        <v>0.018</v>
      </c>
      <c r="J39" s="18">
        <f>IF(G39=0,"",H39/G39)</f>
        <v/>
      </c>
      <c r="K39" s="19" t="n">
        <v>0.1820808643397056</v>
      </c>
      <c r="L39" s="19" t="n">
        <v>0.1739425359755802</v>
      </c>
      <c r="M39" s="18">
        <f>IF(H39=0,"",I39/H39)</f>
        <v/>
      </c>
      <c r="N39" s="19" t="n">
        <v>3.745341999380996</v>
      </c>
      <c r="O39" s="19" t="n">
        <v>0.0996241128783415</v>
      </c>
      <c r="P39" s="19" t="n">
        <v>0.1862129332452893</v>
      </c>
      <c r="Q39" s="18">
        <f>IF(OR(O39="",P39=""),"",O39-P39)</f>
        <v/>
      </c>
      <c r="R39" s="20" t="n"/>
      <c r="S39" s="20" t="n"/>
      <c r="T39" s="18" t="n"/>
      <c r="U39" s="20" t="n"/>
      <c r="V39" s="20" t="n"/>
      <c r="W39" s="18" t="n"/>
      <c r="X39" s="10" t="inlineStr">
        <is>
          <t>No HMDA mortgage reporting</t>
        </is>
      </c>
      <c r="Y39" s="20">
        <f>ROUND(100*(Scoring!$B$4*(1-IFERROR(PERCENTRANK($J$2:$J$46,J39),0.5))+Scoring!$B$5*IFERROR(PERCENTRANK($K$2:$K$46,K39),0.5)+Scoring!$B$6*IFERROR(PERCENTRANK($L$2:$L$46,L39),0.5)+Scoring!$B$7*IFERROR(PERCENTRANK($Q$2:$Q$46,Q39),0.5)+Scoring!$B$8*IFERROR(PERCENTRANK($N$2:$N$46,N39),0.5)+Scoring!$B$9*(1-IFERROR(PERCENTRANK($M$2:$M$46,M39),0.5))),0)</f>
        <v/>
      </c>
      <c r="Z39" s="10">
        <f>IF(AND(Y39&gt;=Scoring!$B$18,F39&gt;=Scoring!$B$20,X39&lt;&gt;"Already takes broker loans"),"Tier 1",IF(Y39&gt;=Scoring!$B$19,"Tier 2","Tier 3"))</f>
        <v/>
      </c>
      <c r="AA39" s="21" t="n"/>
      <c r="AB39" s="21" t="n"/>
    </row>
    <row r="40">
      <c r="A40" s="10" t="inlineStr">
        <is>
          <t>bank:59290</t>
        </is>
      </c>
      <c r="B40" s="10" t="inlineStr">
        <is>
          <t>Beach Cities Commercial Bank</t>
        </is>
      </c>
      <c r="C40" s="10" t="inlineStr">
        <is>
          <t>Irvine</t>
        </is>
      </c>
      <c r="D40" s="10" t="inlineStr">
        <is>
          <t>Orange</t>
        </is>
      </c>
      <c r="E40" s="10" t="inlineStr">
        <is>
          <t>www.beachcitiescb.com</t>
        </is>
      </c>
      <c r="F40" s="17" t="n">
        <v>188.867</v>
      </c>
      <c r="G40" s="17" t="n">
        <v>139.556</v>
      </c>
      <c r="H40" s="17" t="n">
        <v>153.508</v>
      </c>
      <c r="I40" s="17" t="n">
        <v>17.493</v>
      </c>
      <c r="J40" s="18">
        <f>IF(G40=0,"",H40/G40)</f>
        <v/>
      </c>
      <c r="K40" s="19" t="n">
        <v>0.1760815812185294</v>
      </c>
      <c r="L40" s="19" t="n">
        <v>0.09808057485650166</v>
      </c>
      <c r="M40" s="18">
        <f>IF(H40=0,"",I40/H40)</f>
        <v/>
      </c>
      <c r="N40" s="19" t="n">
        <v>2.733292998184918</v>
      </c>
      <c r="O40" s="19" t="n">
        <v>0.04898563579100856</v>
      </c>
      <c r="P40" s="19" t="n">
        <v>0.1688189072303101</v>
      </c>
      <c r="Q40" s="18">
        <f>IF(OR(O40="",P40=""),"",O40-P40)</f>
        <v/>
      </c>
      <c r="R40" s="20" t="n"/>
      <c r="S40" s="20" t="n"/>
      <c r="T40" s="18" t="n"/>
      <c r="U40" s="20" t="n"/>
      <c r="V40" s="20" t="n"/>
      <c r="W40" s="18" t="n"/>
      <c r="X40" s="10" t="inlineStr">
        <is>
          <t>No HMDA mortgage reporting</t>
        </is>
      </c>
      <c r="Y40" s="20">
        <f>ROUND(100*(Scoring!$B$4*(1-IFERROR(PERCENTRANK($J$2:$J$46,J40),0.5))+Scoring!$B$5*IFERROR(PERCENTRANK($K$2:$K$46,K40),0.5)+Scoring!$B$6*IFERROR(PERCENTRANK($L$2:$L$46,L40),0.5)+Scoring!$B$7*IFERROR(PERCENTRANK($Q$2:$Q$46,Q40),0.5)+Scoring!$B$8*IFERROR(PERCENTRANK($N$2:$N$46,N40),0.5)+Scoring!$B$9*(1-IFERROR(PERCENTRANK($M$2:$M$46,M40),0.5))),0)</f>
        <v/>
      </c>
      <c r="Z40" s="10">
        <f>IF(AND(Y40&gt;=Scoring!$B$18,F40&gt;=Scoring!$B$20,X40&lt;&gt;"Already takes broker loans"),"Tier 1",IF(Y40&gt;=Scoring!$B$19,"Tier 2","Tier 3"))</f>
        <v/>
      </c>
      <c r="AA40" s="21" t="n"/>
      <c r="AB40" s="21" t="n"/>
    </row>
    <row r="41">
      <c r="A41" s="10" t="inlineStr">
        <is>
          <t>bank:59314</t>
        </is>
      </c>
      <c r="B41" s="10" t="inlineStr">
        <is>
          <t>Icon Business Bank</t>
        </is>
      </c>
      <c r="C41" s="10" t="inlineStr">
        <is>
          <t>Riverside</t>
        </is>
      </c>
      <c r="D41" s="10" t="inlineStr">
        <is>
          <t>Riverside</t>
        </is>
      </c>
      <c r="E41" s="10" t="inlineStr">
        <is>
          <t>www.iconbusinessbank.com</t>
        </is>
      </c>
      <c r="F41" s="17" t="n">
        <v>155.506</v>
      </c>
      <c r="G41" s="17" t="n">
        <v>129.187</v>
      </c>
      <c r="H41" s="17" t="n">
        <v>122.746</v>
      </c>
      <c r="I41" s="17" t="n">
        <v>0</v>
      </c>
      <c r="J41" s="18">
        <f>IF(G41=0,"",H41/G41)</f>
        <v/>
      </c>
      <c r="K41" s="19" t="n">
        <v>0.1688359291602896</v>
      </c>
      <c r="L41" s="19" t="n">
        <v>0.1194351102858501</v>
      </c>
      <c r="M41" s="18">
        <f>IF(H41=0,"",I41/H41)</f>
        <v/>
      </c>
      <c r="N41" s="19" t="n">
        <v>0.7849265694765721</v>
      </c>
      <c r="O41" s="19" t="n">
        <v>-0.06418781872971724</v>
      </c>
      <c r="P41" s="19" t="n">
        <v>0.1381494153754856</v>
      </c>
      <c r="Q41" s="18">
        <f>IF(OR(O41="",P41=""),"",O41-P41)</f>
        <v/>
      </c>
      <c r="R41" s="20" t="n"/>
      <c r="S41" s="20" t="n"/>
      <c r="T41" s="18" t="n"/>
      <c r="U41" s="20" t="n"/>
      <c r="V41" s="20" t="n"/>
      <c r="W41" s="18" t="n"/>
      <c r="X41" s="10" t="inlineStr">
        <is>
          <t>No HMDA mortgage reporting</t>
        </is>
      </c>
      <c r="Y41" s="20">
        <f>ROUND(100*(Scoring!$B$4*(1-IFERROR(PERCENTRANK($J$2:$J$46,J41),0.5))+Scoring!$B$5*IFERROR(PERCENTRANK($K$2:$K$46,K41),0.5)+Scoring!$B$6*IFERROR(PERCENTRANK($L$2:$L$46,L41),0.5)+Scoring!$B$7*IFERROR(PERCENTRANK($Q$2:$Q$46,Q41),0.5)+Scoring!$B$8*IFERROR(PERCENTRANK($N$2:$N$46,N41),0.5)+Scoring!$B$9*(1-IFERROR(PERCENTRANK($M$2:$M$46,M41),0.5))),0)</f>
        <v/>
      </c>
      <c r="Z41" s="10">
        <f>IF(AND(Y41&gt;=Scoring!$B$18,F41&gt;=Scoring!$B$20,X41&lt;&gt;"Already takes broker loans"),"Tier 1",IF(Y41&gt;=Scoring!$B$19,"Tier 2","Tier 3"))</f>
        <v/>
      </c>
      <c r="AA41" s="21" t="n"/>
      <c r="AB41" s="21" t="n"/>
    </row>
    <row r="42">
      <c r="A42" s="10" t="inlineStr">
        <is>
          <t>bank:24211</t>
        </is>
      </c>
      <c r="B42" s="10" t="inlineStr">
        <is>
          <t>Bank of Whittier, National Association</t>
        </is>
      </c>
      <c r="C42" s="10" t="inlineStr">
        <is>
          <t>Whittier</t>
        </is>
      </c>
      <c r="D42" s="10" t="inlineStr">
        <is>
          <t>Los Angeles</t>
        </is>
      </c>
      <c r="E42" s="10" t="inlineStr">
        <is>
          <t>http://www.whittierbank.com</t>
        </is>
      </c>
      <c r="F42" s="17" t="n">
        <v>152.608</v>
      </c>
      <c r="G42" s="17" t="n">
        <v>125.183</v>
      </c>
      <c r="H42" s="17" t="n">
        <v>86.68000000000001</v>
      </c>
      <c r="I42" s="17" t="n">
        <v>27.306</v>
      </c>
      <c r="J42" s="18">
        <f>IF(G42=0,"",H42/G42)</f>
        <v/>
      </c>
      <c r="K42" s="19" t="n">
        <v>0.4086876179492556</v>
      </c>
      <c r="L42" s="19" t="n">
        <v>0.1637690188245419</v>
      </c>
      <c r="M42" s="18">
        <f>IF(H42=0,"",I42/H42)</f>
        <v/>
      </c>
      <c r="N42" s="19" t="n">
        <v>1.069689007412055</v>
      </c>
      <c r="O42" s="19" t="n">
        <v>-0.153705744360089</v>
      </c>
      <c r="P42" s="19" t="n">
        <v>0.002080924855491384</v>
      </c>
      <c r="Q42" s="18">
        <f>IF(OR(O42="",P42=""),"",O42-P42)</f>
        <v/>
      </c>
      <c r="R42" s="17" t="n">
        <v>74</v>
      </c>
      <c r="S42" s="17" t="n">
        <v>30.41</v>
      </c>
      <c r="T42" s="19" t="n">
        <v>0.0945945945945946</v>
      </c>
      <c r="U42" s="17" t="n">
        <v>0</v>
      </c>
      <c r="V42" s="17" t="n">
        <v>19</v>
      </c>
      <c r="W42" s="19" t="n">
        <v>0</v>
      </c>
      <c r="X42" s="10" t="inlineStr">
        <is>
          <t>Retail only</t>
        </is>
      </c>
      <c r="Y42" s="20">
        <f>ROUND(100*(Scoring!$B$4*(1-IFERROR(PERCENTRANK($J$2:$J$46,J42),0.5))+Scoring!$B$5*IFERROR(PERCENTRANK($K$2:$K$46,K42),0.5)+Scoring!$B$6*IFERROR(PERCENTRANK($L$2:$L$46,L42),0.5)+Scoring!$B$7*IFERROR(PERCENTRANK($Q$2:$Q$46,Q42),0.5)+Scoring!$B$8*IFERROR(PERCENTRANK($N$2:$N$46,N42),0.5)+Scoring!$B$9*(1-IFERROR(PERCENTRANK($M$2:$M$46,M42),0.5))),0)</f>
        <v/>
      </c>
      <c r="Z42" s="10">
        <f>IF(AND(Y42&gt;=Scoring!$B$18,F42&gt;=Scoring!$B$20,X42&lt;&gt;"Already takes broker loans"),"Tier 1",IF(Y42&gt;=Scoring!$B$19,"Tier 2","Tier 3"))</f>
        <v/>
      </c>
      <c r="AA42" s="21" t="n"/>
      <c r="AB42" s="21" t="n"/>
    </row>
    <row r="43">
      <c r="A43" s="10" t="inlineStr">
        <is>
          <t>bank:58037</t>
        </is>
      </c>
      <c r="B43" s="10" t="inlineStr">
        <is>
          <t>California Business Bank</t>
        </is>
      </c>
      <c r="C43" s="10" t="inlineStr">
        <is>
          <t>Irvine</t>
        </is>
      </c>
      <c r="D43" s="10" t="inlineStr">
        <is>
          <t>Orange</t>
        </is>
      </c>
      <c r="E43" s="10" t="inlineStr">
        <is>
          <t>http://www.californiabusinessbank.com</t>
        </is>
      </c>
      <c r="F43" s="17" t="n">
        <v>130.475</v>
      </c>
      <c r="G43" s="17" t="n">
        <v>108.427</v>
      </c>
      <c r="H43" s="17" t="n">
        <v>94.354</v>
      </c>
      <c r="I43" s="17" t="n">
        <v>0.182</v>
      </c>
      <c r="J43" s="18">
        <f>IF(G43=0,"",H43/G43)</f>
        <v/>
      </c>
      <c r="K43" s="19" t="n">
        <v>0.157072236060548</v>
      </c>
      <c r="L43" s="19" t="n">
        <v>0.1446087357661398</v>
      </c>
      <c r="M43" s="18">
        <f>IF(H43=0,"",I43/H43)</f>
        <v/>
      </c>
      <c r="N43" s="19" t="n">
        <v>1.186108918705604</v>
      </c>
      <c r="O43" s="19" t="n">
        <v>0.150150627970129</v>
      </c>
      <c r="P43" s="19" t="n">
        <v>0.0414118893622657</v>
      </c>
      <c r="Q43" s="18">
        <f>IF(OR(O43="",P43=""),"",O43-P43)</f>
        <v/>
      </c>
      <c r="R43" s="20" t="n"/>
      <c r="S43" s="20" t="n"/>
      <c r="T43" s="18" t="n"/>
      <c r="U43" s="20" t="n"/>
      <c r="V43" s="20" t="n"/>
      <c r="W43" s="18" t="n"/>
      <c r="X43" s="10" t="inlineStr">
        <is>
          <t>No HMDA mortgage reporting</t>
        </is>
      </c>
      <c r="Y43" s="20">
        <f>ROUND(100*(Scoring!$B$4*(1-IFERROR(PERCENTRANK($J$2:$J$46,J43),0.5))+Scoring!$B$5*IFERROR(PERCENTRANK($K$2:$K$46,K43),0.5)+Scoring!$B$6*IFERROR(PERCENTRANK($L$2:$L$46,L43),0.5)+Scoring!$B$7*IFERROR(PERCENTRANK($Q$2:$Q$46,Q43),0.5)+Scoring!$B$8*IFERROR(PERCENTRANK($N$2:$N$46,N43),0.5)+Scoring!$B$9*(1-IFERROR(PERCENTRANK($M$2:$M$46,M43),0.5))),0)</f>
        <v/>
      </c>
      <c r="Z43" s="10">
        <f>IF(AND(Y43&gt;=Scoring!$B$18,F43&gt;=Scoring!$B$20,X43&lt;&gt;"Already takes broker loans"),"Tier 1",IF(Y43&gt;=Scoring!$B$19,"Tier 2","Tier 3"))</f>
        <v/>
      </c>
      <c r="AA43" s="21" t="n"/>
      <c r="AB43" s="21" t="n"/>
    </row>
    <row r="44">
      <c r="A44" s="10" t="inlineStr">
        <is>
          <t>bank:32277</t>
        </is>
      </c>
      <c r="B44" s="10" t="inlineStr">
        <is>
          <t>Eastern International Bank</t>
        </is>
      </c>
      <c r="C44" s="10" t="inlineStr">
        <is>
          <t>Los Angeles</t>
        </is>
      </c>
      <c r="D44" s="10" t="inlineStr">
        <is>
          <t>Los Angeles</t>
        </is>
      </c>
      <c r="E44" s="10" t="inlineStr">
        <is>
          <t>https://www.eibankca.com</t>
        </is>
      </c>
      <c r="F44" s="17" t="n">
        <v>125.822</v>
      </c>
      <c r="G44" s="17" t="n">
        <v>88.117</v>
      </c>
      <c r="H44" s="17" t="n">
        <v>97.996</v>
      </c>
      <c r="I44" s="17" t="n">
        <v>0</v>
      </c>
      <c r="J44" s="18">
        <f>IF(G44=0,"",H44/G44)</f>
        <v/>
      </c>
      <c r="K44" s="19" t="n">
        <v>0.2106547344661506</v>
      </c>
      <c r="L44" s="19" t="n">
        <v>0.1827282223347683</v>
      </c>
      <c r="M44" s="18">
        <f>IF(H44=0,"",I44/H44)</f>
        <v/>
      </c>
      <c r="N44" s="19" t="n">
        <v>3.648434454982461</v>
      </c>
      <c r="O44" s="19" t="n">
        <v>-0.03894729953756215</v>
      </c>
      <c r="P44" s="19" t="n">
        <v>0.1791545838497359</v>
      </c>
      <c r="Q44" s="18">
        <f>IF(OR(O44="",P44=""),"",O44-P44)</f>
        <v/>
      </c>
      <c r="R44" s="20" t="n"/>
      <c r="S44" s="20" t="n"/>
      <c r="T44" s="18" t="n"/>
      <c r="U44" s="20" t="n"/>
      <c r="V44" s="20" t="n"/>
      <c r="W44" s="18" t="n"/>
      <c r="X44" s="10" t="inlineStr">
        <is>
          <t>No HMDA mortgage reporting</t>
        </is>
      </c>
      <c r="Y44" s="20">
        <f>ROUND(100*(Scoring!$B$4*(1-IFERROR(PERCENTRANK($J$2:$J$46,J44),0.5))+Scoring!$B$5*IFERROR(PERCENTRANK($K$2:$K$46,K44),0.5)+Scoring!$B$6*IFERROR(PERCENTRANK($L$2:$L$46,L44),0.5)+Scoring!$B$7*IFERROR(PERCENTRANK($Q$2:$Q$46,Q44),0.5)+Scoring!$B$8*IFERROR(PERCENTRANK($N$2:$N$46,N44),0.5)+Scoring!$B$9*(1-IFERROR(PERCENTRANK($M$2:$M$46,M44),0.5))),0)</f>
        <v/>
      </c>
      <c r="Z44" s="10">
        <f>IF(AND(Y44&gt;=Scoring!$B$18,F44&gt;=Scoring!$B$20,X44&lt;&gt;"Already takes broker loans"),"Tier 1",IF(Y44&gt;=Scoring!$B$19,"Tier 2","Tier 3"))</f>
        <v/>
      </c>
      <c r="AA44" s="21" t="n"/>
      <c r="AB44" s="21" t="n"/>
    </row>
    <row r="45">
      <c r="A45" s="10" t="inlineStr">
        <is>
          <t>bank:57974</t>
        </is>
      </c>
      <c r="B45" s="10" t="inlineStr">
        <is>
          <t>California International Bank, N.A.</t>
        </is>
      </c>
      <c r="C45" s="10" t="inlineStr">
        <is>
          <t>Westminster</t>
        </is>
      </c>
      <c r="D45" s="10" t="inlineStr">
        <is>
          <t>Orange</t>
        </is>
      </c>
      <c r="E45" s="10" t="inlineStr">
        <is>
          <t>www.cali.bank</t>
        </is>
      </c>
      <c r="F45" s="17" t="n">
        <v>120.902</v>
      </c>
      <c r="G45" s="17" t="n">
        <v>105.911</v>
      </c>
      <c r="H45" s="17" t="n">
        <v>83.63500000000001</v>
      </c>
      <c r="I45" s="17" t="n">
        <v>1.888</v>
      </c>
      <c r="J45" s="18">
        <f>IF(G45=0,"",H45/G45)</f>
        <v/>
      </c>
      <c r="K45" s="19" t="n">
        <v>0.2748837901771683</v>
      </c>
      <c r="L45" s="19" t="n">
        <v>0.1351401777384985</v>
      </c>
      <c r="M45" s="18">
        <f>IF(H45=0,"",I45/H45)</f>
        <v/>
      </c>
      <c r="N45" s="19" t="n">
        <v>1.511262897834617</v>
      </c>
      <c r="O45" s="19" t="n">
        <v>0.687152528872959</v>
      </c>
      <c r="P45" s="19" t="n">
        <v>0.3815061365400816</v>
      </c>
      <c r="Q45" s="18">
        <f>IF(OR(O45="",P45=""),"",O45-P45)</f>
        <v/>
      </c>
      <c r="R45" s="20" t="n"/>
      <c r="S45" s="20" t="n"/>
      <c r="T45" s="18" t="n"/>
      <c r="U45" s="20" t="n"/>
      <c r="V45" s="20" t="n"/>
      <c r="W45" s="18" t="n"/>
      <c r="X45" s="10" t="inlineStr">
        <is>
          <t>No HMDA mortgage reporting</t>
        </is>
      </c>
      <c r="Y45" s="20">
        <f>ROUND(100*(Scoring!$B$4*(1-IFERROR(PERCENTRANK($J$2:$J$46,J45),0.5))+Scoring!$B$5*IFERROR(PERCENTRANK($K$2:$K$46,K45),0.5)+Scoring!$B$6*IFERROR(PERCENTRANK($L$2:$L$46,L45),0.5)+Scoring!$B$7*IFERROR(PERCENTRANK($Q$2:$Q$46,Q45),0.5)+Scoring!$B$8*IFERROR(PERCENTRANK($N$2:$N$46,N45),0.5)+Scoring!$B$9*(1-IFERROR(PERCENTRANK($M$2:$M$46,M45),0.5))),0)</f>
        <v/>
      </c>
      <c r="Z45" s="10">
        <f>IF(AND(Y45&gt;=Scoring!$B$18,F45&gt;=Scoring!$B$20,X45&lt;&gt;"Already takes broker loans"),"Tier 1",IF(Y45&gt;=Scoring!$B$19,"Tier 2","Tier 3"))</f>
        <v/>
      </c>
      <c r="AA45" s="21" t="n"/>
      <c r="AB45" s="21" t="n"/>
    </row>
    <row r="46">
      <c r="A46" s="10" t="inlineStr">
        <is>
          <t>bank:59204</t>
        </is>
      </c>
      <c r="B46" s="10" t="inlineStr">
        <is>
          <t>Legacy Bank</t>
        </is>
      </c>
      <c r="C46" s="10" t="inlineStr">
        <is>
          <t>Murrieta</t>
        </is>
      </c>
      <c r="D46" s="10" t="inlineStr">
        <is>
          <t>Riverside</t>
        </is>
      </c>
      <c r="E46" s="10" t="inlineStr">
        <is>
          <t>https://www.legacybankca.com</t>
        </is>
      </c>
      <c r="F46" s="17" t="n">
        <v>112.785</v>
      </c>
      <c r="G46" s="17" t="n">
        <v>101.597</v>
      </c>
      <c r="H46" s="17" t="n">
        <v>76.995</v>
      </c>
      <c r="I46" s="17" t="n">
        <v>0</v>
      </c>
      <c r="J46" s="18">
        <f>IF(G46=0,"",H46/G46)</f>
        <v/>
      </c>
      <c r="K46" s="19" t="n">
        <v>0.1917630890632619</v>
      </c>
      <c r="L46" s="19" t="n">
        <v>0.08292334752351577</v>
      </c>
      <c r="M46" s="18">
        <f>IF(H46=0,"",I46/H46)</f>
        <v/>
      </c>
      <c r="N46" s="19" t="n">
        <v>1.265805922737985</v>
      </c>
      <c r="O46" s="19" t="n">
        <v>0.3970216159727187</v>
      </c>
      <c r="P46" s="19" t="n">
        <v>0.08254597604184233</v>
      </c>
      <c r="Q46" s="18">
        <f>IF(OR(O46="",P46=""),"",O46-P46)</f>
        <v/>
      </c>
      <c r="R46" s="20" t="n"/>
      <c r="S46" s="20" t="n"/>
      <c r="T46" s="18" t="n"/>
      <c r="U46" s="20" t="n"/>
      <c r="V46" s="20" t="n"/>
      <c r="W46" s="18" t="n"/>
      <c r="X46" s="10" t="inlineStr">
        <is>
          <t>No HMDA mortgage reporting</t>
        </is>
      </c>
      <c r="Y46" s="20">
        <f>ROUND(100*(Scoring!$B$4*(1-IFERROR(PERCENTRANK($J$2:$J$46,J46),0.5))+Scoring!$B$5*IFERROR(PERCENTRANK($K$2:$K$46,K46),0.5)+Scoring!$B$6*IFERROR(PERCENTRANK($L$2:$L$46,L46),0.5)+Scoring!$B$7*IFERROR(PERCENTRANK($Q$2:$Q$46,Q46),0.5)+Scoring!$B$8*IFERROR(PERCENTRANK($N$2:$N$46,N46),0.5)+Scoring!$B$9*(1-IFERROR(PERCENTRANK($M$2:$M$46,M46),0.5))),0)</f>
        <v/>
      </c>
      <c r="Z46" s="10">
        <f>IF(AND(Y46&gt;=Scoring!$B$18,F46&gt;=Scoring!$B$20,X46&lt;&gt;"Already takes broker loans"),"Tier 1",IF(Y46&gt;=Scoring!$B$19,"Tier 2","Tier 3"))</f>
        <v/>
      </c>
      <c r="AA46" s="21" t="n"/>
      <c r="AB46" s="21" t="n"/>
    </row>
  </sheetData>
  <autoFilter ref="A1:AB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0" customWidth="1" min="1" max="1"/>
    <col width="34" customWidth="1" min="2" max="2"/>
    <col width="16" customWidth="1" min="3" max="3"/>
    <col width="14" customWidth="1" min="4" max="4"/>
    <col width="11" customWidth="1" min="5" max="5"/>
    <col width="11" customWidth="1" min="6" max="6"/>
    <col width="11" customWidth="1" min="7" max="7"/>
    <col width="12" customWidth="1" min="8" max="8"/>
    <col width="10" customWidth="1" min="9" max="9"/>
    <col width="11" customWidth="1" min="10" max="10"/>
    <col width="10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0" customWidth="1" min="18" max="18"/>
    <col width="10" customWidth="1" min="19" max="19"/>
    <col width="10" customWidth="1" min="20" max="20"/>
    <col width="9" customWidth="1" min="21" max="21"/>
    <col width="12" customWidth="1" min="22" max="22"/>
    <col width="11" customWidth="1" min="23" max="23"/>
    <col width="9" customWidth="1" min="24" max="24"/>
    <col width="26" customWidth="1" min="25" max="25"/>
    <col width="9" customWidth="1" min="26" max="26"/>
    <col width="8" customWidth="1" min="27" max="27"/>
    <col width="22" customWidth="1" min="28" max="28"/>
    <col width="30" customWidth="1" min="29" max="29"/>
  </cols>
  <sheetData>
    <row r="1" ht="58" customHeight="1">
      <c r="A1" s="3" t="inlineStr">
        <is>
          <t>Key</t>
        </is>
      </c>
      <c r="B1" s="3" t="inlineStr">
        <is>
          <t>Institution</t>
        </is>
      </c>
      <c r="C1" s="3" t="inlineStr">
        <is>
          <t>City</t>
        </is>
      </c>
      <c r="D1" s="3" t="inlineStr">
        <is>
          <t>County</t>
        </is>
      </c>
      <c r="E1" s="3" t="inlineStr">
        <is>
          <t>Total assets ($M)</t>
        </is>
      </c>
      <c r="F1" s="3" t="inlineStr">
        <is>
          <t>Shares/deposits ($M)</t>
        </is>
      </c>
      <c r="G1" s="3" t="inlineStr">
        <is>
          <t>Total loans ($M)</t>
        </is>
      </c>
      <c r="H1" s="3" t="inlineStr">
        <is>
          <t>1st-lien 1-4 family loans ($M)</t>
        </is>
      </c>
      <c r="I1" s="3" t="inlineStr">
        <is>
          <t>Loan-to-share</t>
        </is>
      </c>
      <c r="J1" s="3" t="inlineStr">
        <is>
          <t>Liquidity (cash+inv / assets)</t>
        </is>
      </c>
      <c r="K1" s="3" t="inlineStr">
        <is>
          <t>Net worth ratio</t>
        </is>
      </c>
      <c r="L1" s="3" t="inlineStr">
        <is>
          <t>1st mtg % of loans</t>
        </is>
      </c>
      <c r="M1" s="3" t="inlineStr">
        <is>
          <t>1st mtg originated YTD ($M)</t>
        </is>
      </c>
      <c r="N1" s="3" t="inlineStr">
        <is>
          <t>Annualized originations / assets</t>
        </is>
      </c>
      <c r="O1" s="3" t="inlineStr">
        <is>
          <t>1st mtg sold YTD ($M)</t>
        </is>
      </c>
      <c r="P1" s="3" t="inlineStr">
        <is>
          <t>Share growth YoY</t>
        </is>
      </c>
      <c r="Q1" s="3" t="inlineStr">
        <is>
          <t>Loan growth YoY</t>
        </is>
      </c>
      <c r="R1" s="3" t="inlineStr">
        <is>
          <t>Funding gap (share g - loan g)</t>
        </is>
      </c>
      <c r="S1" s="3" t="inlineStr">
        <is>
          <t>HMDA 2025 originations (#)</t>
        </is>
      </c>
      <c r="T1" s="3" t="inlineStr">
        <is>
          <t>HMDA 2025 volume ($M)</t>
        </is>
      </c>
      <c r="U1" s="3" t="inlineStr">
        <is>
          <t>% kept in portfolio</t>
        </is>
      </c>
      <c r="V1" s="3" t="inlineStr">
        <is>
          <t>Non-QM-feature loans (IO/balloon/non-amort.)</t>
        </is>
      </c>
      <c r="W1" s="3" t="inlineStr">
        <is>
          <t>Investor / business-purpose loans</t>
        </is>
      </c>
      <c r="X1" s="3" t="inlineStr">
        <is>
          <t>Broker-channel share</t>
        </is>
      </c>
      <c r="Y1" s="3" t="inlineStr">
        <is>
          <t>Wholesale status</t>
        </is>
      </c>
      <c r="Z1" s="3" t="inlineStr">
        <is>
          <t>Capacity score</t>
        </is>
      </c>
      <c r="AA1" s="3" t="inlineStr">
        <is>
          <t>Tier</t>
        </is>
      </c>
      <c r="AB1" s="3" t="inlineStr">
        <is>
          <t>CEO / contact (fill in)</t>
        </is>
      </c>
      <c r="AC1" s="3" t="inlineStr">
        <is>
          <t>Notes (fill in)</t>
        </is>
      </c>
    </row>
    <row r="2">
      <c r="A2" s="10" t="inlineStr">
        <is>
          <t>cu:1999</t>
        </is>
      </c>
      <c r="B2" s="10" t="inlineStr">
        <is>
          <t>Logix CU</t>
        </is>
      </c>
      <c r="C2" s="10" t="inlineStr">
        <is>
          <t>Valencia</t>
        </is>
      </c>
      <c r="D2" s="10" t="inlineStr">
        <is>
          <t>Los Angeles</t>
        </is>
      </c>
      <c r="E2" s="17" t="n">
        <v>9687.804914</v>
      </c>
      <c r="F2" s="17" t="n">
        <v>8130.675626</v>
      </c>
      <c r="G2" s="17" t="n">
        <v>7759.751576</v>
      </c>
      <c r="H2" s="17" t="n">
        <v>3850.703036</v>
      </c>
      <c r="I2" s="18">
        <f>IF(F2=0,"",G2/F2)</f>
        <v/>
      </c>
      <c r="J2" s="19" t="n">
        <v>0.1770824896072014</v>
      </c>
      <c r="K2" s="19" t="n">
        <v>0.1567</v>
      </c>
      <c r="L2" s="18">
        <f>IF(G2=0,"",H2/G2)</f>
        <v/>
      </c>
      <c r="M2" s="17" t="n">
        <v>181.596768</v>
      </c>
      <c r="N2" s="18">
        <f>IF(E2=0,"",2*M2/E2)</f>
        <v/>
      </c>
      <c r="O2" s="17" t="n">
        <v>17.745831</v>
      </c>
      <c r="P2" s="19" t="n">
        <v>0.03564561295815039</v>
      </c>
      <c r="Q2" s="19" t="n">
        <v>0.009334398453681336</v>
      </c>
      <c r="R2" s="18">
        <f>IF(OR(P2="",Q2=""),"",P2-Q2)</f>
        <v/>
      </c>
      <c r="S2" s="17" t="n">
        <v>900</v>
      </c>
      <c r="T2" s="17" t="n">
        <v>304.05</v>
      </c>
      <c r="U2" s="19" t="n">
        <v>0.9</v>
      </c>
      <c r="V2" s="17" t="n">
        <v>44</v>
      </c>
      <c r="W2" s="17" t="n">
        <v>65</v>
      </c>
      <c r="X2" s="19" t="n">
        <v>0</v>
      </c>
      <c r="Y2" s="10" t="inlineStr">
        <is>
          <t>Retail only</t>
        </is>
      </c>
      <c r="Z2" s="20">
        <f>ROUND(100*(Scoring!$B$11*(1-IFERROR(PERCENTRANK($I$2:$I$67,I2),0.5))+Scoring!$B$12*IFERROR(PERCENTRANK($J$2:$J$67,J2),0.5)+Scoring!$B$13*IFERROR(PERCENTRANK($K$2:$K$67,K2),0.5)+Scoring!$B$14*IFERROR(PERCENTRANK($R$2:$R$67,R2),0.5)+Scoring!$B$15*(1-IFERROR(PERCENTRANK($N$2:$N$67,N2),0.5))+Scoring!$B$16*(1-IFERROR(PERCENTRANK($L$2:$L$67,L2),0.5))),0)</f>
        <v/>
      </c>
      <c r="AA2" s="10">
        <f>IF(AND(Z2&gt;=Scoring!$B$18,E2&gt;=Scoring!$B$20,Y2&lt;&gt;"Already takes broker loans"),"Tier 1",IF(Z2&gt;=Scoring!$B$19,"Tier 2","Tier 3"))</f>
        <v/>
      </c>
      <c r="AB2" s="21" t="n"/>
      <c r="AC2" s="21" t="n"/>
    </row>
    <row r="3">
      <c r="A3" s="10" t="inlineStr">
        <is>
          <t>cu:4142</t>
        </is>
      </c>
      <c r="B3" s="10" t="inlineStr">
        <is>
          <t>Kinecta CU</t>
        </is>
      </c>
      <c r="C3" s="10" t="inlineStr">
        <is>
          <t>Manhattan Beach</t>
        </is>
      </c>
      <c r="D3" s="10" t="inlineStr">
        <is>
          <t>Los Angeles</t>
        </is>
      </c>
      <c r="E3" s="17" t="n">
        <v>6770.425568</v>
      </c>
      <c r="F3" s="17" t="n">
        <v>5652.356182</v>
      </c>
      <c r="G3" s="17" t="n">
        <v>5345.324695</v>
      </c>
      <c r="H3" s="17" t="n">
        <v>3170.260884</v>
      </c>
      <c r="I3" s="18">
        <f>IF(F3=0,"",G3/F3)</f>
        <v/>
      </c>
      <c r="J3" s="19" t="n">
        <v>0.1550127879642322</v>
      </c>
      <c r="K3" s="19" t="n">
        <v>0.0868</v>
      </c>
      <c r="L3" s="18">
        <f>IF(G3=0,"",H3/G3)</f>
        <v/>
      </c>
      <c r="M3" s="17" t="n">
        <v>145.685771</v>
      </c>
      <c r="N3" s="18">
        <f>IF(E3=0,"",2*M3/E3)</f>
        <v/>
      </c>
      <c r="O3" s="17" t="n">
        <v>15.897076</v>
      </c>
      <c r="P3" s="19" t="n">
        <v>0.04966179949037253</v>
      </c>
      <c r="Q3" s="19" t="n">
        <v>-0.0208519183668161</v>
      </c>
      <c r="R3" s="18">
        <f>IF(OR(P3="",Q3=""),"",P3-Q3)</f>
        <v/>
      </c>
      <c r="S3" s="17" t="n">
        <v>238</v>
      </c>
      <c r="T3" s="17" t="n">
        <v>108.67</v>
      </c>
      <c r="U3" s="19" t="n">
        <v>0.9957983193277311</v>
      </c>
      <c r="V3" s="17" t="n">
        <v>0</v>
      </c>
      <c r="W3" s="17" t="n">
        <v>6</v>
      </c>
      <c r="X3" s="19" t="n">
        <v>0</v>
      </c>
      <c r="Y3" s="10" t="inlineStr">
        <is>
          <t>Retail only</t>
        </is>
      </c>
      <c r="Z3" s="20">
        <f>ROUND(100*(Scoring!$B$11*(1-IFERROR(PERCENTRANK($I$2:$I$67,I3),0.5))+Scoring!$B$12*IFERROR(PERCENTRANK($J$2:$J$67,J3),0.5)+Scoring!$B$13*IFERROR(PERCENTRANK($K$2:$K$67,K3),0.5)+Scoring!$B$14*IFERROR(PERCENTRANK($R$2:$R$67,R3),0.5)+Scoring!$B$15*(1-IFERROR(PERCENTRANK($N$2:$N$67,N3),0.5))+Scoring!$B$16*(1-IFERROR(PERCENTRANK($L$2:$L$67,L3),0.5))),0)</f>
        <v/>
      </c>
      <c r="AA3" s="10">
        <f>IF(AND(Z3&gt;=Scoring!$B$18,E3&gt;=Scoring!$B$20,Y3&lt;&gt;"Already takes broker loans"),"Tier 1",IF(Z3&gt;=Scoring!$B$19,"Tier 2","Tier 3"))</f>
        <v/>
      </c>
      <c r="AB3" s="21" t="n"/>
      <c r="AC3" s="21" t="n"/>
    </row>
    <row r="4">
      <c r="A4" s="10" t="inlineStr">
        <is>
          <t>cu:66703</t>
        </is>
      </c>
      <c r="B4" s="10" t="inlineStr">
        <is>
          <t>Wescom Central CU</t>
        </is>
      </c>
      <c r="C4" s="10" t="inlineStr">
        <is>
          <t>Pasadena</t>
        </is>
      </c>
      <c r="D4" s="10" t="inlineStr">
        <is>
          <t>Los Angeles</t>
        </is>
      </c>
      <c r="E4" s="17" t="n">
        <v>6600.264904</v>
      </c>
      <c r="F4" s="17" t="n">
        <v>4346.904003</v>
      </c>
      <c r="G4" s="17" t="n">
        <v>3507.501636</v>
      </c>
      <c r="H4" s="17" t="n">
        <v>1769.106248</v>
      </c>
      <c r="I4" s="18">
        <f>IF(F4=0,"",G4/F4)</f>
        <v/>
      </c>
      <c r="J4" s="19" t="n">
        <v>0.4022054068452887</v>
      </c>
      <c r="K4" s="19" t="n">
        <v>0.079</v>
      </c>
      <c r="L4" s="18">
        <f>IF(G4=0,"",H4/G4)</f>
        <v/>
      </c>
      <c r="M4" s="17" t="n">
        <v>56.547598</v>
      </c>
      <c r="N4" s="18">
        <f>IF(E4=0,"",2*M4/E4)</f>
        <v/>
      </c>
      <c r="O4" s="17" t="n">
        <v>7.8082</v>
      </c>
      <c r="P4" s="19" t="n">
        <v>-0.0423225366768617</v>
      </c>
      <c r="Q4" s="19" t="n">
        <v>0.03263379099364871</v>
      </c>
      <c r="R4" s="18">
        <f>IF(OR(P4="",Q4=""),"",P4-Q4)</f>
        <v/>
      </c>
      <c r="S4" s="17" t="n">
        <v>188</v>
      </c>
      <c r="T4" s="17" t="n">
        <v>114.85</v>
      </c>
      <c r="U4" s="19" t="n">
        <v>0.7819148936170213</v>
      </c>
      <c r="V4" s="17" t="n">
        <v>0</v>
      </c>
      <c r="W4" s="17" t="n">
        <v>28</v>
      </c>
      <c r="X4" s="19" t="n">
        <v>0.005319148936170213</v>
      </c>
      <c r="Y4" s="10" t="inlineStr">
        <is>
          <t>Mostly retail, a few broker loans</t>
        </is>
      </c>
      <c r="Z4" s="20">
        <f>ROUND(100*(Scoring!$B$11*(1-IFERROR(PERCENTRANK($I$2:$I$67,I4),0.5))+Scoring!$B$12*IFERROR(PERCENTRANK($J$2:$J$67,J4),0.5)+Scoring!$B$13*IFERROR(PERCENTRANK($K$2:$K$67,K4),0.5)+Scoring!$B$14*IFERROR(PERCENTRANK($R$2:$R$67,R4),0.5)+Scoring!$B$15*(1-IFERROR(PERCENTRANK($N$2:$N$67,N4),0.5))+Scoring!$B$16*(1-IFERROR(PERCENTRANK($L$2:$L$67,L4),0.5))),0)</f>
        <v/>
      </c>
      <c r="AA4" s="10">
        <f>IF(AND(Z4&gt;=Scoring!$B$18,E4&gt;=Scoring!$B$20,Y4&lt;&gt;"Already takes broker loans"),"Tier 1",IF(Z4&gt;=Scoring!$B$19,"Tier 2","Tier 3"))</f>
        <v/>
      </c>
      <c r="AB4" s="21" t="n"/>
      <c r="AC4" s="21" t="n"/>
    </row>
    <row r="5">
      <c r="A5" s="10" t="inlineStr">
        <is>
          <t>cu:24980</t>
        </is>
      </c>
      <c r="B5" s="10" t="inlineStr">
        <is>
          <t>California CU</t>
        </is>
      </c>
      <c r="C5" s="10" t="inlineStr">
        <is>
          <t>Glendale</t>
        </is>
      </c>
      <c r="D5" s="10" t="inlineStr">
        <is>
          <t>Los Angeles</t>
        </is>
      </c>
      <c r="E5" s="17" t="n">
        <v>5426.161864</v>
      </c>
      <c r="F5" s="17" t="n">
        <v>4865.269324</v>
      </c>
      <c r="G5" s="17" t="n">
        <v>3550.620196</v>
      </c>
      <c r="H5" s="17" t="n">
        <v>2056.345278</v>
      </c>
      <c r="I5" s="18">
        <f>IF(F5=0,"",G5/F5)</f>
        <v/>
      </c>
      <c r="J5" s="19" t="n">
        <v>0.2957589322293022</v>
      </c>
      <c r="K5" s="19" t="n">
        <v>0.0941</v>
      </c>
      <c r="L5" s="18">
        <f>IF(G5=0,"",H5/G5)</f>
        <v/>
      </c>
      <c r="M5" s="17" t="n">
        <v>274.244875</v>
      </c>
      <c r="N5" s="18">
        <f>IF(E5=0,"",2*M5/E5)</f>
        <v/>
      </c>
      <c r="O5" s="17" t="n">
        <v>0</v>
      </c>
      <c r="P5" s="18" t="n"/>
      <c r="Q5" s="18" t="n"/>
      <c r="R5" s="18">
        <f>IF(OR(P5="",Q5=""),"",P5-Q5)</f>
        <v/>
      </c>
      <c r="S5" s="17" t="n">
        <v>669</v>
      </c>
      <c r="T5" s="17" t="n">
        <v>505.565</v>
      </c>
      <c r="U5" s="19" t="n">
        <v>0.9372197309417041</v>
      </c>
      <c r="V5" s="17" t="n">
        <v>1</v>
      </c>
      <c r="W5" s="17" t="n">
        <v>14</v>
      </c>
      <c r="X5" s="19" t="n">
        <v>0</v>
      </c>
      <c r="Y5" s="10" t="inlineStr">
        <is>
          <t>Retail only</t>
        </is>
      </c>
      <c r="Z5" s="20">
        <f>ROUND(100*(Scoring!$B$11*(1-IFERROR(PERCENTRANK($I$2:$I$67,I5),0.5))+Scoring!$B$12*IFERROR(PERCENTRANK($J$2:$J$67,J5),0.5)+Scoring!$B$13*IFERROR(PERCENTRANK($K$2:$K$67,K5),0.5)+Scoring!$B$14*IFERROR(PERCENTRANK($R$2:$R$67,R5),0.5)+Scoring!$B$15*(1-IFERROR(PERCENTRANK($N$2:$N$67,N5),0.5))+Scoring!$B$16*(1-IFERROR(PERCENTRANK($L$2:$L$67,L5),0.5))),0)</f>
        <v/>
      </c>
      <c r="AA5" s="10">
        <f>IF(AND(Z5&gt;=Scoring!$B$18,E5&gt;=Scoring!$B$20,Y5&lt;&gt;"Already takes broker loans"),"Tier 1",IF(Z5&gt;=Scoring!$B$19,"Tier 2","Tier 3"))</f>
        <v/>
      </c>
      <c r="AB5" s="21" t="n"/>
      <c r="AC5" s="21" t="n"/>
    </row>
    <row r="6">
      <c r="A6" s="10" t="inlineStr">
        <is>
          <t>cu:24983</t>
        </is>
      </c>
      <c r="B6" s="10" t="inlineStr">
        <is>
          <t>Credit Union of Southern California</t>
        </is>
      </c>
      <c r="C6" s="10" t="inlineStr">
        <is>
          <t>Anaheim</t>
        </is>
      </c>
      <c r="D6" s="10" t="inlineStr">
        <is>
          <t>Orange</t>
        </is>
      </c>
      <c r="E6" s="17" t="n">
        <v>4006.096229</v>
      </c>
      <c r="F6" s="17" t="n">
        <v>3062.543841</v>
      </c>
      <c r="G6" s="17" t="n">
        <v>2136.43399</v>
      </c>
      <c r="H6" s="17" t="n">
        <v>793.719093</v>
      </c>
      <c r="I6" s="18">
        <f>IF(F6=0,"",G6/F6)</f>
        <v/>
      </c>
      <c r="J6" s="19" t="n">
        <v>0.42885477052778</v>
      </c>
      <c r="K6" s="19" t="n">
        <v>0.113</v>
      </c>
      <c r="L6" s="18">
        <f>IF(G6=0,"",H6/G6)</f>
        <v/>
      </c>
      <c r="M6" s="17" t="n">
        <v>46.973572</v>
      </c>
      <c r="N6" s="18">
        <f>IF(E6=0,"",2*M6/E6)</f>
        <v/>
      </c>
      <c r="O6" s="17" t="n">
        <v>0.35</v>
      </c>
      <c r="P6" s="18" t="n"/>
      <c r="Q6" s="18" t="n"/>
      <c r="R6" s="18">
        <f>IF(OR(P6="",Q6=""),"",P6-Q6)</f>
        <v/>
      </c>
      <c r="S6" s="17" t="n">
        <v>322</v>
      </c>
      <c r="T6" s="17" t="n">
        <v>161.93</v>
      </c>
      <c r="U6" s="19" t="n">
        <v>0.9968944099378882</v>
      </c>
      <c r="V6" s="17" t="n">
        <v>97</v>
      </c>
      <c r="W6" s="17" t="n">
        <v>52</v>
      </c>
      <c r="X6" s="19" t="n">
        <v>0</v>
      </c>
      <c r="Y6" s="10" t="inlineStr">
        <is>
          <t>Retail only</t>
        </is>
      </c>
      <c r="Z6" s="20">
        <f>ROUND(100*(Scoring!$B$11*(1-IFERROR(PERCENTRANK($I$2:$I$67,I6),0.5))+Scoring!$B$12*IFERROR(PERCENTRANK($J$2:$J$67,J6),0.5)+Scoring!$B$13*IFERROR(PERCENTRANK($K$2:$K$67,K6),0.5)+Scoring!$B$14*IFERROR(PERCENTRANK($R$2:$R$67,R6),0.5)+Scoring!$B$15*(1-IFERROR(PERCENTRANK($N$2:$N$67,N6),0.5))+Scoring!$B$16*(1-IFERROR(PERCENTRANK($L$2:$L$67,L6),0.5))),0)</f>
        <v/>
      </c>
      <c r="AA6" s="10">
        <f>IF(AND(Z6&gt;=Scoring!$B$18,E6&gt;=Scoring!$B$20,Y6&lt;&gt;"Already takes broker loans"),"Tier 1",IF(Z6&gt;=Scoring!$B$19,"Tier 2","Tier 3"))</f>
        <v/>
      </c>
      <c r="AB6" s="21" t="n"/>
      <c r="AC6" s="21" t="n"/>
    </row>
    <row r="7">
      <c r="A7" s="10" t="inlineStr">
        <is>
          <t>cu:566</t>
        </is>
      </c>
      <c r="B7" s="10" t="inlineStr">
        <is>
          <t>Nuvision CU</t>
        </is>
      </c>
      <c r="C7" s="10" t="inlineStr">
        <is>
          <t>Huntington Beac</t>
        </is>
      </c>
      <c r="D7" s="10" t="inlineStr">
        <is>
          <t>Orange</t>
        </is>
      </c>
      <c r="E7" s="17" t="n">
        <v>3968.592754</v>
      </c>
      <c r="F7" s="17" t="n">
        <v>3326.956648</v>
      </c>
      <c r="G7" s="17" t="n">
        <v>3133.485588</v>
      </c>
      <c r="H7" s="17" t="n">
        <v>1309.76922</v>
      </c>
      <c r="I7" s="18">
        <f>IF(F7=0,"",G7/F7)</f>
        <v/>
      </c>
      <c r="J7" s="19" t="n">
        <v>0.1738539980713778</v>
      </c>
      <c r="K7" s="19" t="n">
        <v>0.1203</v>
      </c>
      <c r="L7" s="18">
        <f>IF(G7=0,"",H7/G7)</f>
        <v/>
      </c>
      <c r="M7" s="17" t="n">
        <v>138.881959</v>
      </c>
      <c r="N7" s="18">
        <f>IF(E7=0,"",2*M7/E7)</f>
        <v/>
      </c>
      <c r="O7" s="17" t="n">
        <v>15.661999</v>
      </c>
      <c r="P7" s="19" t="n">
        <v>0.02904111028109879</v>
      </c>
      <c r="Q7" s="19" t="n">
        <v>0.01973728541250841</v>
      </c>
      <c r="R7" s="18">
        <f>IF(OR(P7="",Q7=""),"",P7-Q7)</f>
        <v/>
      </c>
      <c r="S7" s="17" t="n">
        <v>403</v>
      </c>
      <c r="T7" s="17" t="n">
        <v>256.425</v>
      </c>
      <c r="U7" s="19" t="n">
        <v>0.8114143920595533</v>
      </c>
      <c r="V7" s="17" t="n">
        <v>33</v>
      </c>
      <c r="W7" s="17" t="n">
        <v>30</v>
      </c>
      <c r="X7" s="19" t="n">
        <v>0.1612903225806452</v>
      </c>
      <c r="Y7" s="10" t="inlineStr">
        <is>
          <t>Already takes broker loans</t>
        </is>
      </c>
      <c r="Z7" s="20">
        <f>ROUND(100*(Scoring!$B$11*(1-IFERROR(PERCENTRANK($I$2:$I$67,I7),0.5))+Scoring!$B$12*IFERROR(PERCENTRANK($J$2:$J$67,J7),0.5)+Scoring!$B$13*IFERROR(PERCENTRANK($K$2:$K$67,K7),0.5)+Scoring!$B$14*IFERROR(PERCENTRANK($R$2:$R$67,R7),0.5)+Scoring!$B$15*(1-IFERROR(PERCENTRANK($N$2:$N$67,N7),0.5))+Scoring!$B$16*(1-IFERROR(PERCENTRANK($L$2:$L$67,L7),0.5))),0)</f>
        <v/>
      </c>
      <c r="AA7" s="10">
        <f>IF(AND(Z7&gt;=Scoring!$B$18,E7&gt;=Scoring!$B$20,Y7&lt;&gt;"Already takes broker loans"),"Tier 1",IF(Z7&gt;=Scoring!$B$19,"Tier 2","Tier 3"))</f>
        <v/>
      </c>
      <c r="AB7" s="21" t="n"/>
      <c r="AC7" s="21" t="n"/>
    </row>
    <row r="8">
      <c r="A8" s="10" t="inlineStr">
        <is>
          <t>cu:68428</t>
        </is>
      </c>
      <c r="B8" s="10" t="inlineStr">
        <is>
          <t>Premier America CU</t>
        </is>
      </c>
      <c r="C8" s="10" t="inlineStr">
        <is>
          <t>Chatsworth</t>
        </is>
      </c>
      <c r="D8" s="10" t="inlineStr">
        <is>
          <t>Los Angeles</t>
        </is>
      </c>
      <c r="E8" s="17" t="n">
        <v>3319.448016</v>
      </c>
      <c r="F8" s="17" t="n">
        <v>2996.464536</v>
      </c>
      <c r="G8" s="17" t="n">
        <v>2610.522114</v>
      </c>
      <c r="H8" s="17" t="n">
        <v>1674.999315</v>
      </c>
      <c r="I8" s="18">
        <f>IF(F8=0,"",G8/F8)</f>
        <v/>
      </c>
      <c r="J8" s="19" t="n">
        <v>0.1893210054716519</v>
      </c>
      <c r="K8" s="19" t="n">
        <v>0.0949</v>
      </c>
      <c r="L8" s="18">
        <f>IF(G8=0,"",H8/G8)</f>
        <v/>
      </c>
      <c r="M8" s="17" t="n">
        <v>64.864361</v>
      </c>
      <c r="N8" s="18">
        <f>IF(E8=0,"",2*M8/E8)</f>
        <v/>
      </c>
      <c r="O8" s="17" t="n">
        <v>0.815333</v>
      </c>
      <c r="P8" s="19" t="n">
        <v>0.01576904115628763</v>
      </c>
      <c r="Q8" s="19" t="n">
        <v>-0.05209021146868698</v>
      </c>
      <c r="R8" s="18">
        <f>IF(OR(P8="",Q8=""),"",P8-Q8)</f>
        <v/>
      </c>
      <c r="S8" s="17" t="n">
        <v>146</v>
      </c>
      <c r="T8" s="17" t="n">
        <v>49.14</v>
      </c>
      <c r="U8" s="19" t="n">
        <v>1</v>
      </c>
      <c r="V8" s="17" t="n">
        <v>0</v>
      </c>
      <c r="W8" s="17" t="n">
        <v>9</v>
      </c>
      <c r="X8" s="19" t="n">
        <v>0</v>
      </c>
      <c r="Y8" s="10" t="inlineStr">
        <is>
          <t>Retail only</t>
        </is>
      </c>
      <c r="Z8" s="20">
        <f>ROUND(100*(Scoring!$B$11*(1-IFERROR(PERCENTRANK($I$2:$I$67,I8),0.5))+Scoring!$B$12*IFERROR(PERCENTRANK($J$2:$J$67,J8),0.5)+Scoring!$B$13*IFERROR(PERCENTRANK($K$2:$K$67,K8),0.5)+Scoring!$B$14*IFERROR(PERCENTRANK($R$2:$R$67,R8),0.5)+Scoring!$B$15*(1-IFERROR(PERCENTRANK($N$2:$N$67,N8),0.5))+Scoring!$B$16*(1-IFERROR(PERCENTRANK($L$2:$L$67,L8),0.5))),0)</f>
        <v/>
      </c>
      <c r="AA8" s="10">
        <f>IF(AND(Z8&gt;=Scoring!$B$18,E8&gt;=Scoring!$B$20,Y8&lt;&gt;"Already takes broker loans"),"Tier 1",IF(Z8&gt;=Scoring!$B$19,"Tier 2","Tier 3"))</f>
        <v/>
      </c>
      <c r="AB8" s="21" t="n"/>
      <c r="AC8" s="21" t="n"/>
    </row>
    <row r="9">
      <c r="A9" s="10" t="inlineStr">
        <is>
          <t>cu:1493</t>
        </is>
      </c>
      <c r="B9" s="10" t="inlineStr">
        <is>
          <t>F&amp;A CU</t>
        </is>
      </c>
      <c r="C9" s="10" t="inlineStr">
        <is>
          <t>Monterey Park</t>
        </is>
      </c>
      <c r="D9" s="10" t="inlineStr">
        <is>
          <t>Los Angeles</t>
        </is>
      </c>
      <c r="E9" s="17" t="n">
        <v>3153.776409</v>
      </c>
      <c r="F9" s="17" t="n">
        <v>2062.837829</v>
      </c>
      <c r="G9" s="17" t="n">
        <v>1229.446821</v>
      </c>
      <c r="H9" s="17" t="n">
        <v>673.2285460000001</v>
      </c>
      <c r="I9" s="18">
        <f>IF(F9=0,"",G9/F9)</f>
        <v/>
      </c>
      <c r="J9" s="19" t="n">
        <v>0.5753329744055423</v>
      </c>
      <c r="K9" s="19" t="n">
        <v>0.1259</v>
      </c>
      <c r="L9" s="18">
        <f>IF(G9=0,"",H9/G9)</f>
        <v/>
      </c>
      <c r="M9" s="17" t="n">
        <v>71.934805</v>
      </c>
      <c r="N9" s="18">
        <f>IF(E9=0,"",2*M9/E9)</f>
        <v/>
      </c>
      <c r="O9" s="17" t="n">
        <v>0</v>
      </c>
      <c r="P9" s="19" t="n">
        <v>0.06042277754415792</v>
      </c>
      <c r="Q9" s="19" t="n">
        <v>0.05275807397379384</v>
      </c>
      <c r="R9" s="18">
        <f>IF(OR(P9="",Q9=""),"",P9-Q9)</f>
        <v/>
      </c>
      <c r="S9" s="17" t="n">
        <v>290</v>
      </c>
      <c r="T9" s="17" t="n">
        <v>100.11</v>
      </c>
      <c r="U9" s="19" t="n">
        <v>1</v>
      </c>
      <c r="V9" s="17" t="n">
        <v>8</v>
      </c>
      <c r="W9" s="17" t="n">
        <v>13</v>
      </c>
      <c r="X9" s="19" t="n">
        <v>0</v>
      </c>
      <c r="Y9" s="10" t="inlineStr">
        <is>
          <t>Retail only</t>
        </is>
      </c>
      <c r="Z9" s="20">
        <f>ROUND(100*(Scoring!$B$11*(1-IFERROR(PERCENTRANK($I$2:$I$67,I9),0.5))+Scoring!$B$12*IFERROR(PERCENTRANK($J$2:$J$67,J9),0.5)+Scoring!$B$13*IFERROR(PERCENTRANK($K$2:$K$67,K9),0.5)+Scoring!$B$14*IFERROR(PERCENTRANK($R$2:$R$67,R9),0.5)+Scoring!$B$15*(1-IFERROR(PERCENTRANK($N$2:$N$67,N9),0.5))+Scoring!$B$16*(1-IFERROR(PERCENTRANK($L$2:$L$67,L9),0.5))),0)</f>
        <v/>
      </c>
      <c r="AA9" s="10">
        <f>IF(AND(Z9&gt;=Scoring!$B$18,E9&gt;=Scoring!$B$20,Y9&lt;&gt;"Already takes broker loans"),"Tier 1",IF(Z9&gt;=Scoring!$B$19,"Tier 2","Tier 3"))</f>
        <v/>
      </c>
      <c r="AB9" s="21" t="n"/>
      <c r="AC9" s="21" t="n"/>
    </row>
    <row r="10">
      <c r="A10" s="10" t="inlineStr">
        <is>
          <t>cu:24981</t>
        </is>
      </c>
      <c r="B10" s="10" t="inlineStr">
        <is>
          <t>Orange County's CU</t>
        </is>
      </c>
      <c r="C10" s="10" t="inlineStr">
        <is>
          <t>Santa Ana</t>
        </is>
      </c>
      <c r="D10" s="10" t="inlineStr">
        <is>
          <t>Orange</t>
        </is>
      </c>
      <c r="E10" s="17" t="n">
        <v>3079.79647</v>
      </c>
      <c r="F10" s="17" t="n">
        <v>2553.753509</v>
      </c>
      <c r="G10" s="17" t="n">
        <v>2416.98677</v>
      </c>
      <c r="H10" s="17" t="n">
        <v>759.288587</v>
      </c>
      <c r="I10" s="18">
        <f>IF(F10=0,"",G10/F10)</f>
        <v/>
      </c>
      <c r="J10" s="19" t="n">
        <v>0.1802520044449561</v>
      </c>
      <c r="K10" s="19" t="n">
        <v>0.1066</v>
      </c>
      <c r="L10" s="18">
        <f>IF(G10=0,"",H10/G10)</f>
        <v/>
      </c>
      <c r="M10" s="17" t="n">
        <v>52.881296</v>
      </c>
      <c r="N10" s="18">
        <f>IF(E10=0,"",2*M10/E10)</f>
        <v/>
      </c>
      <c r="O10" s="17" t="n">
        <v>5.258023</v>
      </c>
      <c r="P10" s="18" t="n"/>
      <c r="Q10" s="18" t="n"/>
      <c r="R10" s="18">
        <f>IF(OR(P10="",Q10=""),"",P10-Q10)</f>
        <v/>
      </c>
      <c r="S10" s="17" t="n">
        <v>575</v>
      </c>
      <c r="T10" s="17" t="n">
        <v>153.615</v>
      </c>
      <c r="U10" s="19" t="n">
        <v>0.96</v>
      </c>
      <c r="V10" s="17" t="n">
        <v>11</v>
      </c>
      <c r="W10" s="17" t="n">
        <v>16</v>
      </c>
      <c r="X10" s="19" t="n">
        <v>0</v>
      </c>
      <c r="Y10" s="10" t="inlineStr">
        <is>
          <t>Retail only</t>
        </is>
      </c>
      <c r="Z10" s="20">
        <f>ROUND(100*(Scoring!$B$11*(1-IFERROR(PERCENTRANK($I$2:$I$67,I10),0.5))+Scoring!$B$12*IFERROR(PERCENTRANK($J$2:$J$67,J10),0.5)+Scoring!$B$13*IFERROR(PERCENTRANK($K$2:$K$67,K10),0.5)+Scoring!$B$14*IFERROR(PERCENTRANK($R$2:$R$67,R10),0.5)+Scoring!$B$15*(1-IFERROR(PERCENTRANK($N$2:$N$67,N10),0.5))+Scoring!$B$16*(1-IFERROR(PERCENTRANK($L$2:$L$67,L10),0.5))),0)</f>
        <v/>
      </c>
      <c r="AA10" s="10">
        <f>IF(AND(Z10&gt;=Scoring!$B$18,E10&gt;=Scoring!$B$20,Y10&lt;&gt;"Already takes broker loans"),"Tier 1",IF(Z10&gt;=Scoring!$B$19,"Tier 2","Tier 3"))</f>
        <v/>
      </c>
      <c r="AB10" s="21" t="n"/>
      <c r="AC10" s="21" t="n"/>
    </row>
    <row r="11">
      <c r="A11" s="10" t="inlineStr">
        <is>
          <t>cu:24973</t>
        </is>
      </c>
      <c r="B11" s="10" t="inlineStr">
        <is>
          <t>Arrowhead CU</t>
        </is>
      </c>
      <c r="C11" s="10" t="inlineStr">
        <is>
          <t>Rancho Cucamong</t>
        </is>
      </c>
      <c r="D11" s="10" t="inlineStr">
        <is>
          <t>San Bernardino</t>
        </is>
      </c>
      <c r="E11" s="17" t="n">
        <v>2925.641838</v>
      </c>
      <c r="F11" s="17" t="n">
        <v>2421.846323</v>
      </c>
      <c r="G11" s="17" t="n">
        <v>1448.330048</v>
      </c>
      <c r="H11" s="17" t="n">
        <v>150.150813</v>
      </c>
      <c r="I11" s="18">
        <f>IF(F11=0,"",G11/F11)</f>
        <v/>
      </c>
      <c r="J11" s="19" t="n">
        <v>0.4617331579874679</v>
      </c>
      <c r="K11" s="19" t="n">
        <v>0.1136</v>
      </c>
      <c r="L11" s="18">
        <f>IF(G11=0,"",H11/G11)</f>
        <v/>
      </c>
      <c r="M11" s="17" t="n">
        <v>27.459588</v>
      </c>
      <c r="N11" s="18">
        <f>IF(E11=0,"",2*M11/E11)</f>
        <v/>
      </c>
      <c r="O11" s="17" t="n">
        <v>0.0785</v>
      </c>
      <c r="P11" s="19" t="n">
        <v>0.0798132881145297</v>
      </c>
      <c r="Q11" s="19" t="n">
        <v>0.01831417376611255</v>
      </c>
      <c r="R11" s="18">
        <f>IF(OR(P11="",Q11=""),"",P11-Q11)</f>
        <v/>
      </c>
      <c r="S11" s="17" t="n">
        <v>458</v>
      </c>
      <c r="T11" s="17" t="n">
        <v>74.53</v>
      </c>
      <c r="U11" s="19" t="n">
        <v>0.7336244541484717</v>
      </c>
      <c r="V11" s="17" t="n">
        <v>1</v>
      </c>
      <c r="W11" s="17" t="n">
        <v>13</v>
      </c>
      <c r="X11" s="19" t="n">
        <v>0.2663755458515284</v>
      </c>
      <c r="Y11" s="10" t="inlineStr">
        <is>
          <t>Already takes broker loans</t>
        </is>
      </c>
      <c r="Z11" s="20">
        <f>ROUND(100*(Scoring!$B$11*(1-IFERROR(PERCENTRANK($I$2:$I$67,I11),0.5))+Scoring!$B$12*IFERROR(PERCENTRANK($J$2:$J$67,J11),0.5)+Scoring!$B$13*IFERROR(PERCENTRANK($K$2:$K$67,K11),0.5)+Scoring!$B$14*IFERROR(PERCENTRANK($R$2:$R$67,R11),0.5)+Scoring!$B$15*(1-IFERROR(PERCENTRANK($N$2:$N$67,N11),0.5))+Scoring!$B$16*(1-IFERROR(PERCENTRANK($L$2:$L$67,L11),0.5))),0)</f>
        <v/>
      </c>
      <c r="AA11" s="10">
        <f>IF(AND(Z11&gt;=Scoring!$B$18,E11&gt;=Scoring!$B$20,Y11&lt;&gt;"Already takes broker loans"),"Tier 1",IF(Z11&gt;=Scoring!$B$19,"Tier 2","Tier 3"))</f>
        <v/>
      </c>
      <c r="AB11" s="21" t="n"/>
      <c r="AC11" s="21" t="n"/>
    </row>
    <row r="12">
      <c r="A12" s="10" t="inlineStr">
        <is>
          <t>cu:18708</t>
        </is>
      </c>
      <c r="B12" s="10" t="inlineStr">
        <is>
          <t>Partners CU</t>
        </is>
      </c>
      <c r="C12" s="10" t="inlineStr">
        <is>
          <t>Burbank</t>
        </is>
      </c>
      <c r="D12" s="10" t="inlineStr">
        <is>
          <t>Los Angeles</t>
        </is>
      </c>
      <c r="E12" s="17" t="n">
        <v>2766.047844</v>
      </c>
      <c r="F12" s="17" t="n">
        <v>2411.906995</v>
      </c>
      <c r="G12" s="17" t="n">
        <v>2203.295051</v>
      </c>
      <c r="H12" s="17" t="n">
        <v>1163.787652</v>
      </c>
      <c r="I12" s="18">
        <f>IF(F12=0,"",G12/F12)</f>
        <v/>
      </c>
      <c r="J12" s="19" t="n">
        <v>0.1854284881993531</v>
      </c>
      <c r="K12" s="19" t="n">
        <v>0.1174</v>
      </c>
      <c r="L12" s="18">
        <f>IF(G12=0,"",H12/G12)</f>
        <v/>
      </c>
      <c r="M12" s="17" t="n">
        <v>106.528064</v>
      </c>
      <c r="N12" s="18">
        <f>IF(E12=0,"",2*M12/E12)</f>
        <v/>
      </c>
      <c r="O12" s="17" t="n">
        <v>0</v>
      </c>
      <c r="P12" s="19" t="n">
        <v>0.03837789349291487</v>
      </c>
      <c r="Q12" s="19" t="n">
        <v>0.03867213640162959</v>
      </c>
      <c r="R12" s="18">
        <f>IF(OR(P12="",Q12=""),"",P12-Q12)</f>
        <v/>
      </c>
      <c r="S12" s="20" t="n"/>
      <c r="T12" s="20" t="n"/>
      <c r="U12" s="18" t="n"/>
      <c r="V12" s="20" t="n"/>
      <c r="W12" s="20" t="n"/>
      <c r="X12" s="18" t="n"/>
      <c r="Y12" s="10" t="inlineStr">
        <is>
          <t>No HMDA mortgage reporting</t>
        </is>
      </c>
      <c r="Z12" s="20">
        <f>ROUND(100*(Scoring!$B$11*(1-IFERROR(PERCENTRANK($I$2:$I$67,I12),0.5))+Scoring!$B$12*IFERROR(PERCENTRANK($J$2:$J$67,J12),0.5)+Scoring!$B$13*IFERROR(PERCENTRANK($K$2:$K$67,K12),0.5)+Scoring!$B$14*IFERROR(PERCENTRANK($R$2:$R$67,R12),0.5)+Scoring!$B$15*(1-IFERROR(PERCENTRANK($N$2:$N$67,N12),0.5))+Scoring!$B$16*(1-IFERROR(PERCENTRANK($L$2:$L$67,L12),0.5))),0)</f>
        <v/>
      </c>
      <c r="AA12" s="10">
        <f>IF(AND(Z12&gt;=Scoring!$B$18,E12&gt;=Scoring!$B$20,Y12&lt;&gt;"Already takes broker loans"),"Tier 1",IF(Z12&gt;=Scoring!$B$19,"Tier 2","Tier 3"))</f>
        <v/>
      </c>
      <c r="AB12" s="21" t="n"/>
      <c r="AC12" s="21" t="n"/>
    </row>
    <row r="13">
      <c r="A13" s="10" t="inlineStr">
        <is>
          <t>cu:24969</t>
        </is>
      </c>
      <c r="B13" s="10" t="inlineStr">
        <is>
          <t>Altura CU</t>
        </is>
      </c>
      <c r="C13" s="10" t="inlineStr">
        <is>
          <t>Riverside</t>
        </is>
      </c>
      <c r="D13" s="10" t="inlineStr">
        <is>
          <t>Riverside</t>
        </is>
      </c>
      <c r="E13" s="17" t="n">
        <v>2645.892363</v>
      </c>
      <c r="F13" s="17" t="n">
        <v>2365.622979</v>
      </c>
      <c r="G13" s="17" t="n">
        <v>1775.325349</v>
      </c>
      <c r="H13" s="17" t="n">
        <v>555.629999</v>
      </c>
      <c r="I13" s="18">
        <f>IF(F13=0,"",G13/F13)</f>
        <v/>
      </c>
      <c r="J13" s="19" t="n">
        <v>0.2845398643300744</v>
      </c>
      <c r="K13" s="19" t="n">
        <v>0.1117</v>
      </c>
      <c r="L13" s="18">
        <f>IF(G13=0,"",H13/G13)</f>
        <v/>
      </c>
      <c r="M13" s="17" t="n">
        <v>73.392449</v>
      </c>
      <c r="N13" s="18">
        <f>IF(E13=0,"",2*M13/E13)</f>
        <v/>
      </c>
      <c r="O13" s="17" t="n">
        <v>1.376115</v>
      </c>
      <c r="P13" s="19" t="n">
        <v>0.03597059387145563</v>
      </c>
      <c r="Q13" s="19" t="n">
        <v>0.0385056454666759</v>
      </c>
      <c r="R13" s="18">
        <f>IF(OR(P13="",Q13=""),"",P13-Q13)</f>
        <v/>
      </c>
      <c r="S13" s="17" t="n">
        <v>234</v>
      </c>
      <c r="T13" s="17" t="n">
        <v>74.37</v>
      </c>
      <c r="U13" s="19" t="n">
        <v>0.9957264957264957</v>
      </c>
      <c r="V13" s="17" t="n">
        <v>3</v>
      </c>
      <c r="W13" s="17" t="n">
        <v>13</v>
      </c>
      <c r="X13" s="19" t="n">
        <v>0.04273504273504274</v>
      </c>
      <c r="Y13" s="10" t="inlineStr">
        <is>
          <t>Mostly retail, a few broker loans</t>
        </is>
      </c>
      <c r="Z13" s="20">
        <f>ROUND(100*(Scoring!$B$11*(1-IFERROR(PERCENTRANK($I$2:$I$67,I13),0.5))+Scoring!$B$12*IFERROR(PERCENTRANK($J$2:$J$67,J13),0.5)+Scoring!$B$13*IFERROR(PERCENTRANK($K$2:$K$67,K13),0.5)+Scoring!$B$14*IFERROR(PERCENTRANK($R$2:$R$67,R13),0.5)+Scoring!$B$15*(1-IFERROR(PERCENTRANK($N$2:$N$67,N13),0.5))+Scoring!$B$16*(1-IFERROR(PERCENTRANK($L$2:$L$67,L13),0.5))),0)</f>
        <v/>
      </c>
      <c r="AA13" s="10">
        <f>IF(AND(Z13&gt;=Scoring!$B$18,E13&gt;=Scoring!$B$20,Y13&lt;&gt;"Already takes broker loans"),"Tier 1",IF(Z13&gt;=Scoring!$B$19,"Tier 2","Tier 3"))</f>
        <v/>
      </c>
      <c r="AB13" s="21" t="n"/>
      <c r="AC13" s="21" t="n"/>
    </row>
    <row r="14">
      <c r="A14" s="10" t="inlineStr">
        <is>
          <t>cu:24877</t>
        </is>
      </c>
      <c r="B14" s="10" t="inlineStr">
        <is>
          <t>Firefighters First CU</t>
        </is>
      </c>
      <c r="C14" s="10" t="inlineStr">
        <is>
          <t>Los Angeles</t>
        </is>
      </c>
      <c r="D14" s="10" t="inlineStr">
        <is>
          <t>Los Angeles</t>
        </is>
      </c>
      <c r="E14" s="17" t="n">
        <v>2479.205488</v>
      </c>
      <c r="F14" s="17" t="n">
        <v>2219.032879</v>
      </c>
      <c r="G14" s="17" t="n">
        <v>2107.673232</v>
      </c>
      <c r="H14" s="17" t="n">
        <v>927.708163</v>
      </c>
      <c r="I14" s="18">
        <f>IF(F14=0,"",G14/F14)</f>
        <v/>
      </c>
      <c r="J14" s="19" t="n">
        <v>0.1077600514733936</v>
      </c>
      <c r="K14" s="19" t="n">
        <v>0.0939</v>
      </c>
      <c r="L14" s="18">
        <f>IF(G14=0,"",H14/G14)</f>
        <v/>
      </c>
      <c r="M14" s="17" t="n">
        <v>129.496442</v>
      </c>
      <c r="N14" s="18">
        <f>IF(E14=0,"",2*M14/E14)</f>
        <v/>
      </c>
      <c r="O14" s="17" t="n">
        <v>8.67295</v>
      </c>
      <c r="P14" s="19" t="n">
        <v>0.06339893074497605</v>
      </c>
      <c r="Q14" s="19" t="n">
        <v>0.1146930925456233</v>
      </c>
      <c r="R14" s="18">
        <f>IF(OR(P14="",Q14=""),"",P14-Q14)</f>
        <v/>
      </c>
      <c r="S14" s="17" t="n">
        <v>443</v>
      </c>
      <c r="T14" s="17" t="n">
        <v>175.735</v>
      </c>
      <c r="U14" s="19" t="n">
        <v>1</v>
      </c>
      <c r="V14" s="17" t="n">
        <v>68</v>
      </c>
      <c r="W14" s="17" t="n">
        <v>66</v>
      </c>
      <c r="X14" s="19" t="n">
        <v>0</v>
      </c>
      <c r="Y14" s="10" t="inlineStr">
        <is>
          <t>Retail only</t>
        </is>
      </c>
      <c r="Z14" s="20">
        <f>ROUND(100*(Scoring!$B$11*(1-IFERROR(PERCENTRANK($I$2:$I$67,I14),0.5))+Scoring!$B$12*IFERROR(PERCENTRANK($J$2:$J$67,J14),0.5)+Scoring!$B$13*IFERROR(PERCENTRANK($K$2:$K$67,K14),0.5)+Scoring!$B$14*IFERROR(PERCENTRANK($R$2:$R$67,R14),0.5)+Scoring!$B$15*(1-IFERROR(PERCENTRANK($N$2:$N$67,N14),0.5))+Scoring!$B$16*(1-IFERROR(PERCENTRANK($L$2:$L$67,L14),0.5))),0)</f>
        <v/>
      </c>
      <c r="AA14" s="10">
        <f>IF(AND(Z14&gt;=Scoring!$B$18,E14&gt;=Scoring!$B$20,Y14&lt;&gt;"Already takes broker loans"),"Tier 1",IF(Z14&gt;=Scoring!$B$19,"Tier 2","Tier 3"))</f>
        <v/>
      </c>
      <c r="AB14" s="21" t="n"/>
      <c r="AC14" s="21" t="n"/>
    </row>
    <row r="15">
      <c r="A15" s="10" t="inlineStr">
        <is>
          <t>cu:68460</t>
        </is>
      </c>
      <c r="B15" s="10" t="inlineStr">
        <is>
          <t>LBS Financial CU</t>
        </is>
      </c>
      <c r="C15" s="10" t="inlineStr">
        <is>
          <t>Long Beach</t>
        </is>
      </c>
      <c r="D15" s="10" t="inlineStr">
        <is>
          <t>Orange</t>
        </is>
      </c>
      <c r="E15" s="17" t="n">
        <v>2208.240582</v>
      </c>
      <c r="F15" s="17" t="n">
        <v>1907.022521</v>
      </c>
      <c r="G15" s="17" t="n">
        <v>1173.73131</v>
      </c>
      <c r="H15" s="17" t="n">
        <v>290.548278</v>
      </c>
      <c r="I15" s="18">
        <f>IF(F15=0,"",G15/F15)</f>
        <v/>
      </c>
      <c r="J15" s="19" t="n">
        <v>0.4185167175774691</v>
      </c>
      <c r="K15" s="19" t="n">
        <v>0.1311</v>
      </c>
      <c r="L15" s="18">
        <f>IF(G15=0,"",H15/G15)</f>
        <v/>
      </c>
      <c r="M15" s="17" t="n">
        <v>26.480856</v>
      </c>
      <c r="N15" s="18">
        <f>IF(E15=0,"",2*M15/E15)</f>
        <v/>
      </c>
      <c r="O15" s="17" t="n">
        <v>1.7625</v>
      </c>
      <c r="P15" s="19" t="n">
        <v>0.0473953514131269</v>
      </c>
      <c r="Q15" s="19" t="n">
        <v>0.05280734020408628</v>
      </c>
      <c r="R15" s="18">
        <f>IF(OR(P15="",Q15=""),"",P15-Q15)</f>
        <v/>
      </c>
      <c r="S15" s="17" t="n">
        <v>177</v>
      </c>
      <c r="T15" s="17" t="n">
        <v>74.565</v>
      </c>
      <c r="U15" s="19" t="n">
        <v>0.9322033898305084</v>
      </c>
      <c r="V15" s="17" t="n">
        <v>0</v>
      </c>
      <c r="W15" s="17" t="n">
        <v>0</v>
      </c>
      <c r="X15" s="19" t="n">
        <v>0</v>
      </c>
      <c r="Y15" s="10" t="inlineStr">
        <is>
          <t>Retail only</t>
        </is>
      </c>
      <c r="Z15" s="20">
        <f>ROUND(100*(Scoring!$B$11*(1-IFERROR(PERCENTRANK($I$2:$I$67,I15),0.5))+Scoring!$B$12*IFERROR(PERCENTRANK($J$2:$J$67,J15),0.5)+Scoring!$B$13*IFERROR(PERCENTRANK($K$2:$K$67,K15),0.5)+Scoring!$B$14*IFERROR(PERCENTRANK($R$2:$R$67,R15),0.5)+Scoring!$B$15*(1-IFERROR(PERCENTRANK($N$2:$N$67,N15),0.5))+Scoring!$B$16*(1-IFERROR(PERCENTRANK($L$2:$L$67,L15),0.5))),0)</f>
        <v/>
      </c>
      <c r="AA15" s="10">
        <f>IF(AND(Z15&gt;=Scoring!$B$18,E15&gt;=Scoring!$B$20,Y15&lt;&gt;"Already takes broker loans"),"Tier 1",IF(Z15&gt;=Scoring!$B$19,"Tier 2","Tier 3"))</f>
        <v/>
      </c>
      <c r="AB15" s="21" t="n"/>
      <c r="AC15" s="21" t="n"/>
    </row>
    <row r="16">
      <c r="A16" s="10" t="inlineStr">
        <is>
          <t>cu:68457</t>
        </is>
      </c>
      <c r="B16" s="10" t="inlineStr">
        <is>
          <t>Financial Partners CU</t>
        </is>
      </c>
      <c r="C16" s="10" t="inlineStr">
        <is>
          <t>Downey</t>
        </is>
      </c>
      <c r="D16" s="10" t="inlineStr">
        <is>
          <t>Los Angeles</t>
        </is>
      </c>
      <c r="E16" s="17" t="n">
        <v>2190.465885</v>
      </c>
      <c r="F16" s="17" t="n">
        <v>1757.655119</v>
      </c>
      <c r="G16" s="17" t="n">
        <v>1582.199839</v>
      </c>
      <c r="H16" s="17" t="n">
        <v>709.555027</v>
      </c>
      <c r="I16" s="18">
        <f>IF(F16=0,"",G16/F16)</f>
        <v/>
      </c>
      <c r="J16" s="19" t="n">
        <v>0.1730932458690175</v>
      </c>
      <c r="K16" s="19" t="n">
        <v>0.095</v>
      </c>
      <c r="L16" s="18">
        <f>IF(G16=0,"",H16/G16)</f>
        <v/>
      </c>
      <c r="M16" s="17" t="n">
        <v>51.37125</v>
      </c>
      <c r="N16" s="18">
        <f>IF(E16=0,"",2*M16/E16)</f>
        <v/>
      </c>
      <c r="O16" s="17" t="n">
        <v>16.9649</v>
      </c>
      <c r="P16" s="19" t="n">
        <v>-0.01915033895144758</v>
      </c>
      <c r="Q16" s="19" t="n">
        <v>-0.09816130095499742</v>
      </c>
      <c r="R16" s="18">
        <f>IF(OR(P16="",Q16=""),"",P16-Q16)</f>
        <v/>
      </c>
      <c r="S16" s="17" t="n">
        <v>209</v>
      </c>
      <c r="T16" s="17" t="n">
        <v>97.095</v>
      </c>
      <c r="U16" s="19" t="n">
        <v>0.7081339712918661</v>
      </c>
      <c r="V16" s="17" t="n">
        <v>2</v>
      </c>
      <c r="W16" s="17" t="n">
        <v>20</v>
      </c>
      <c r="X16" s="19" t="n">
        <v>0</v>
      </c>
      <c r="Y16" s="10" t="inlineStr">
        <is>
          <t>Retail only</t>
        </is>
      </c>
      <c r="Z16" s="20">
        <f>ROUND(100*(Scoring!$B$11*(1-IFERROR(PERCENTRANK($I$2:$I$67,I16),0.5))+Scoring!$B$12*IFERROR(PERCENTRANK($J$2:$J$67,J16),0.5)+Scoring!$B$13*IFERROR(PERCENTRANK($K$2:$K$67,K16),0.5)+Scoring!$B$14*IFERROR(PERCENTRANK($R$2:$R$67,R16),0.5)+Scoring!$B$15*(1-IFERROR(PERCENTRANK($N$2:$N$67,N16),0.5))+Scoring!$B$16*(1-IFERROR(PERCENTRANK($L$2:$L$67,L16),0.5))),0)</f>
        <v/>
      </c>
      <c r="AA16" s="10">
        <f>IF(AND(Z16&gt;=Scoring!$B$18,E16&gt;=Scoring!$B$20,Y16&lt;&gt;"Already takes broker loans"),"Tier 1",IF(Z16&gt;=Scoring!$B$19,"Tier 2","Tier 3"))</f>
        <v/>
      </c>
      <c r="AB16" s="21" t="n"/>
      <c r="AC16" s="21" t="n"/>
    </row>
    <row r="17">
      <c r="A17" s="10" t="inlineStr">
        <is>
          <t>cu:68373</t>
        </is>
      </c>
      <c r="B17" s="10" t="inlineStr">
        <is>
          <t>First Entertainment CU</t>
        </is>
      </c>
      <c r="C17" s="10" t="inlineStr">
        <is>
          <t>Hollywood</t>
        </is>
      </c>
      <c r="D17" s="10" t="inlineStr">
        <is>
          <t>Los Angeles</t>
        </is>
      </c>
      <c r="E17" s="17" t="n">
        <v>2114.980873</v>
      </c>
      <c r="F17" s="17" t="n">
        <v>1744.127244</v>
      </c>
      <c r="G17" s="17" t="n">
        <v>1452.534863</v>
      </c>
      <c r="H17" s="17" t="n">
        <v>785.043863</v>
      </c>
      <c r="I17" s="18">
        <f>IF(F17=0,"",G17/F17)</f>
        <v/>
      </c>
      <c r="J17" s="19" t="n">
        <v>0.2744277735130137</v>
      </c>
      <c r="K17" s="19" t="n">
        <v>0.1014</v>
      </c>
      <c r="L17" s="18">
        <f>IF(G17=0,"",H17/G17)</f>
        <v/>
      </c>
      <c r="M17" s="17" t="n">
        <v>49.880902</v>
      </c>
      <c r="N17" s="18">
        <f>IF(E17=0,"",2*M17/E17)</f>
        <v/>
      </c>
      <c r="O17" s="17" t="n">
        <v>0</v>
      </c>
      <c r="P17" s="19" t="n">
        <v>0.01061726931911089</v>
      </c>
      <c r="Q17" s="19" t="n">
        <v>0.00399059367788257</v>
      </c>
      <c r="R17" s="18">
        <f>IF(OR(P17="",Q17=""),"",P17-Q17)</f>
        <v/>
      </c>
      <c r="S17" s="17" t="n">
        <v>196</v>
      </c>
      <c r="T17" s="17" t="n">
        <v>91.81</v>
      </c>
      <c r="U17" s="19" t="n">
        <v>0.9897959183673469</v>
      </c>
      <c r="V17" s="17" t="n">
        <v>0</v>
      </c>
      <c r="W17" s="17" t="n">
        <v>7</v>
      </c>
      <c r="X17" s="19" t="n">
        <v>0</v>
      </c>
      <c r="Y17" s="10" t="inlineStr">
        <is>
          <t>Retail only</t>
        </is>
      </c>
      <c r="Z17" s="20">
        <f>ROUND(100*(Scoring!$B$11*(1-IFERROR(PERCENTRANK($I$2:$I$67,I17),0.5))+Scoring!$B$12*IFERROR(PERCENTRANK($J$2:$J$67,J17),0.5)+Scoring!$B$13*IFERROR(PERCENTRANK($K$2:$K$67,K17),0.5)+Scoring!$B$14*IFERROR(PERCENTRANK($R$2:$R$67,R17),0.5)+Scoring!$B$15*(1-IFERROR(PERCENTRANK($N$2:$N$67,N17),0.5))+Scoring!$B$16*(1-IFERROR(PERCENTRANK($L$2:$L$67,L17),0.5))),0)</f>
        <v/>
      </c>
      <c r="AA17" s="10">
        <f>IF(AND(Z17&gt;=Scoring!$B$18,E17&gt;=Scoring!$B$20,Y17&lt;&gt;"Already takes broker loans"),"Tier 1",IF(Z17&gt;=Scoring!$B$19,"Tier 2","Tier 3"))</f>
        <v/>
      </c>
      <c r="AB17" s="21" t="n"/>
      <c r="AC17" s="21" t="n"/>
    </row>
    <row r="18">
      <c r="A18" s="10" t="inlineStr">
        <is>
          <t>cu:6681</t>
        </is>
      </c>
      <c r="B18" s="10" t="inlineStr">
        <is>
          <t>Caltech Employees CU</t>
        </is>
      </c>
      <c r="C18" s="10" t="inlineStr">
        <is>
          <t>La Canada</t>
        </is>
      </c>
      <c r="D18" s="10" t="inlineStr">
        <is>
          <t>Los Angeles</t>
        </is>
      </c>
      <c r="E18" s="17" t="n">
        <v>2096.431841</v>
      </c>
      <c r="F18" s="17" t="n">
        <v>1578.782355</v>
      </c>
      <c r="G18" s="17" t="n">
        <v>705.450331</v>
      </c>
      <c r="H18" s="17" t="n">
        <v>513.1292539999999</v>
      </c>
      <c r="I18" s="18">
        <f>IF(F18=0,"",G18/F18)</f>
        <v/>
      </c>
      <c r="J18" s="19" t="n">
        <v>0.6489852755484837</v>
      </c>
      <c r="K18" s="19" t="n">
        <v>0.1008</v>
      </c>
      <c r="L18" s="18">
        <f>IF(G18=0,"",H18/G18)</f>
        <v/>
      </c>
      <c r="M18" s="17" t="n">
        <v>73.01242499999999</v>
      </c>
      <c r="N18" s="18">
        <f>IF(E18=0,"",2*M18/E18)</f>
        <v/>
      </c>
      <c r="O18" s="17" t="n">
        <v>0</v>
      </c>
      <c r="P18" s="19" t="n">
        <v>-0.01938978801633628</v>
      </c>
      <c r="Q18" s="19" t="n">
        <v>0.1403364270368319</v>
      </c>
      <c r="R18" s="18">
        <f>IF(OR(P18="",Q18=""),"",P18-Q18)</f>
        <v/>
      </c>
      <c r="S18" s="17" t="n">
        <v>148</v>
      </c>
      <c r="T18" s="17" t="n">
        <v>96.42</v>
      </c>
      <c r="U18" s="19" t="n">
        <v>1</v>
      </c>
      <c r="V18" s="17" t="n">
        <v>0</v>
      </c>
      <c r="W18" s="17" t="n">
        <v>4</v>
      </c>
      <c r="X18" s="19" t="n">
        <v>0.01351351351351351</v>
      </c>
      <c r="Y18" s="10" t="inlineStr">
        <is>
          <t>Mostly retail, a few broker loans</t>
        </is>
      </c>
      <c r="Z18" s="20">
        <f>ROUND(100*(Scoring!$B$11*(1-IFERROR(PERCENTRANK($I$2:$I$67,I18),0.5))+Scoring!$B$12*IFERROR(PERCENTRANK($J$2:$J$67,J18),0.5)+Scoring!$B$13*IFERROR(PERCENTRANK($K$2:$K$67,K18),0.5)+Scoring!$B$14*IFERROR(PERCENTRANK($R$2:$R$67,R18),0.5)+Scoring!$B$15*(1-IFERROR(PERCENTRANK($N$2:$N$67,N18),0.5))+Scoring!$B$16*(1-IFERROR(PERCENTRANK($L$2:$L$67,L18),0.5))),0)</f>
        <v/>
      </c>
      <c r="AA18" s="10">
        <f>IF(AND(Z18&gt;=Scoring!$B$18,E18&gt;=Scoring!$B$20,Y18&lt;&gt;"Already takes broker loans"),"Tier 1",IF(Z18&gt;=Scoring!$B$19,"Tier 2","Tier 3"))</f>
        <v/>
      </c>
      <c r="AB18" s="21" t="n"/>
      <c r="AC18" s="21" t="n"/>
    </row>
    <row r="19">
      <c r="A19" s="10" t="inlineStr">
        <is>
          <t>cu:24292</t>
        </is>
      </c>
      <c r="B19" s="10" t="inlineStr">
        <is>
          <t>Northrop Grumman CU</t>
        </is>
      </c>
      <c r="C19" s="10" t="inlineStr">
        <is>
          <t>Gardena</t>
        </is>
      </c>
      <c r="D19" s="10" t="inlineStr">
        <is>
          <t>Los Angeles</t>
        </is>
      </c>
      <c r="E19" s="17" t="n">
        <v>1645.408833</v>
      </c>
      <c r="F19" s="17" t="n">
        <v>1483.854836</v>
      </c>
      <c r="G19" s="17" t="n">
        <v>827.901689</v>
      </c>
      <c r="H19" s="17" t="n">
        <v>236.29395</v>
      </c>
      <c r="I19" s="18">
        <f>IF(F19=0,"",G19/F19)</f>
        <v/>
      </c>
      <c r="J19" s="19" t="n">
        <v>0.4529406546585617</v>
      </c>
      <c r="K19" s="19" t="n">
        <v>0.09080000000000001</v>
      </c>
      <c r="L19" s="18">
        <f>IF(G19=0,"",H19/G19)</f>
        <v/>
      </c>
      <c r="M19" s="17" t="n">
        <v>21.092204</v>
      </c>
      <c r="N19" s="18">
        <f>IF(E19=0,"",2*M19/E19)</f>
        <v/>
      </c>
      <c r="O19" s="17" t="n">
        <v>17.012921</v>
      </c>
      <c r="P19" s="19" t="n">
        <v>0.02995963918641764</v>
      </c>
      <c r="Q19" s="19" t="n">
        <v>-0.0123448034519289</v>
      </c>
      <c r="R19" s="18">
        <f>IF(OR(P19="",Q19=""),"",P19-Q19)</f>
        <v/>
      </c>
      <c r="S19" s="17" t="n">
        <v>254</v>
      </c>
      <c r="T19" s="17" t="n">
        <v>69</v>
      </c>
      <c r="U19" s="19" t="n">
        <v>1</v>
      </c>
      <c r="V19" s="17" t="n">
        <v>0</v>
      </c>
      <c r="W19" s="17" t="n">
        <v>14</v>
      </c>
      <c r="X19" s="19" t="n">
        <v>0.003937007874015748</v>
      </c>
      <c r="Y19" s="10" t="inlineStr">
        <is>
          <t>Mostly retail, a few broker loans</t>
        </is>
      </c>
      <c r="Z19" s="20">
        <f>ROUND(100*(Scoring!$B$11*(1-IFERROR(PERCENTRANK($I$2:$I$67,I19),0.5))+Scoring!$B$12*IFERROR(PERCENTRANK($J$2:$J$67,J19),0.5)+Scoring!$B$13*IFERROR(PERCENTRANK($K$2:$K$67,K19),0.5)+Scoring!$B$14*IFERROR(PERCENTRANK($R$2:$R$67,R19),0.5)+Scoring!$B$15*(1-IFERROR(PERCENTRANK($N$2:$N$67,N19),0.5))+Scoring!$B$16*(1-IFERROR(PERCENTRANK($L$2:$L$67,L19),0.5))),0)</f>
        <v/>
      </c>
      <c r="AA19" s="10">
        <f>IF(AND(Z19&gt;=Scoring!$B$18,E19&gt;=Scoring!$B$20,Y19&lt;&gt;"Already takes broker loans"),"Tier 1",IF(Z19&gt;=Scoring!$B$19,"Tier 2","Tier 3"))</f>
        <v/>
      </c>
      <c r="AB19" s="21" t="n"/>
      <c r="AC19" s="21" t="n"/>
    </row>
    <row r="20">
      <c r="A20" s="10" t="inlineStr">
        <is>
          <t>cu:97068</t>
        </is>
      </c>
      <c r="B20" s="10" t="inlineStr">
        <is>
          <t>Adelfi CU</t>
        </is>
      </c>
      <c r="C20" s="10" t="inlineStr">
        <is>
          <t>San Dimas</t>
        </is>
      </c>
      <c r="D20" s="10" t="inlineStr">
        <is>
          <t>Los Angeles</t>
        </is>
      </c>
      <c r="E20" s="17" t="n">
        <v>1421.349449</v>
      </c>
      <c r="F20" s="17" t="n">
        <v>1214.627706</v>
      </c>
      <c r="G20" s="17" t="n">
        <v>1027.294939</v>
      </c>
      <c r="H20" s="17" t="n">
        <v>256.983071</v>
      </c>
      <c r="I20" s="18">
        <f>IF(F20=0,"",G20/F20)</f>
        <v/>
      </c>
      <c r="J20" s="19" t="n">
        <v>0.2354872626400828</v>
      </c>
      <c r="K20" s="19" t="n">
        <v>0.1285</v>
      </c>
      <c r="L20" s="18">
        <f>IF(G20=0,"",H20/G20)</f>
        <v/>
      </c>
      <c r="M20" s="17" t="n">
        <v>10.24934</v>
      </c>
      <c r="N20" s="18">
        <f>IF(E20=0,"",2*M20/E20)</f>
        <v/>
      </c>
      <c r="O20" s="17" t="n">
        <v>0</v>
      </c>
      <c r="P20" s="19" t="n">
        <v>0.5818043448324774</v>
      </c>
      <c r="Q20" s="19" t="n">
        <v>0.4335191368693683</v>
      </c>
      <c r="R20" s="18">
        <f>IF(OR(P20="",Q20=""),"",P20-Q20)</f>
        <v/>
      </c>
      <c r="S20" s="20" t="n"/>
      <c r="T20" s="20" t="n"/>
      <c r="U20" s="18" t="n"/>
      <c r="V20" s="20" t="n"/>
      <c r="W20" s="20" t="n"/>
      <c r="X20" s="18" t="n"/>
      <c r="Y20" s="10" t="inlineStr">
        <is>
          <t>No HMDA mortgage reporting</t>
        </is>
      </c>
      <c r="Z20" s="20">
        <f>ROUND(100*(Scoring!$B$11*(1-IFERROR(PERCENTRANK($I$2:$I$67,I20),0.5))+Scoring!$B$12*IFERROR(PERCENTRANK($J$2:$J$67,J20),0.5)+Scoring!$B$13*IFERROR(PERCENTRANK($K$2:$K$67,K20),0.5)+Scoring!$B$14*IFERROR(PERCENTRANK($R$2:$R$67,R20),0.5)+Scoring!$B$15*(1-IFERROR(PERCENTRANK($N$2:$N$67,N20),0.5))+Scoring!$B$16*(1-IFERROR(PERCENTRANK($L$2:$L$67,L20),0.5))),0)</f>
        <v/>
      </c>
      <c r="AA20" s="10">
        <f>IF(AND(Z20&gt;=Scoring!$B$18,E20&gt;=Scoring!$B$20,Y20&lt;&gt;"Already takes broker loans"),"Tier 1",IF(Z20&gt;=Scoring!$B$19,"Tier 2","Tier 3"))</f>
        <v/>
      </c>
      <c r="AB20" s="21" t="n"/>
      <c r="AC20" s="21" t="n"/>
    </row>
    <row r="21">
      <c r="A21" s="10" t="inlineStr">
        <is>
          <t>cu:24553</t>
        </is>
      </c>
      <c r="B21" s="10" t="inlineStr">
        <is>
          <t>Los Angeles Police CU</t>
        </is>
      </c>
      <c r="C21" s="10" t="inlineStr">
        <is>
          <t>Van Nuys</t>
        </is>
      </c>
      <c r="D21" s="10" t="inlineStr">
        <is>
          <t>Los Angeles</t>
        </is>
      </c>
      <c r="E21" s="17" t="n">
        <v>1387.365004</v>
      </c>
      <c r="F21" s="17" t="n">
        <v>1249.624359</v>
      </c>
      <c r="G21" s="17" t="n">
        <v>757.569822</v>
      </c>
      <c r="H21" s="17" t="n">
        <v>331.568542</v>
      </c>
      <c r="I21" s="18">
        <f>IF(F21=0,"",G21/F21)</f>
        <v/>
      </c>
      <c r="J21" s="19" t="n">
        <v>0.4224203265256934</v>
      </c>
      <c r="K21" s="19" t="n">
        <v>0.1132</v>
      </c>
      <c r="L21" s="18">
        <f>IF(G21=0,"",H21/G21)</f>
        <v/>
      </c>
      <c r="M21" s="17" t="n">
        <v>9.645763000000001</v>
      </c>
      <c r="N21" s="18">
        <f>IF(E21=0,"",2*M21/E21)</f>
        <v/>
      </c>
      <c r="O21" s="17" t="n">
        <v>3.340436</v>
      </c>
      <c r="P21" s="19" t="n">
        <v>0.03013863507962666</v>
      </c>
      <c r="Q21" s="19" t="n">
        <v>-0.00121941386011537</v>
      </c>
      <c r="R21" s="18">
        <f>IF(OR(P21="",Q21=""),"",P21-Q21)</f>
        <v/>
      </c>
      <c r="S21" s="17" t="n">
        <v>230</v>
      </c>
      <c r="T21" s="17" t="n">
        <v>44.51</v>
      </c>
      <c r="U21" s="19" t="n">
        <v>0.9304347826086956</v>
      </c>
      <c r="V21" s="20" t="n"/>
      <c r="W21" s="17" t="n">
        <v>19</v>
      </c>
      <c r="X21" s="18" t="n"/>
      <c r="Y21" s="10" t="inlineStr">
        <is>
          <t>Unknown (small filer, channel not reported)</t>
        </is>
      </c>
      <c r="Z21" s="20">
        <f>ROUND(100*(Scoring!$B$11*(1-IFERROR(PERCENTRANK($I$2:$I$67,I21),0.5))+Scoring!$B$12*IFERROR(PERCENTRANK($J$2:$J$67,J21),0.5)+Scoring!$B$13*IFERROR(PERCENTRANK($K$2:$K$67,K21),0.5)+Scoring!$B$14*IFERROR(PERCENTRANK($R$2:$R$67,R21),0.5)+Scoring!$B$15*(1-IFERROR(PERCENTRANK($N$2:$N$67,N21),0.5))+Scoring!$B$16*(1-IFERROR(PERCENTRANK($L$2:$L$67,L21),0.5))),0)</f>
        <v/>
      </c>
      <c r="AA21" s="10">
        <f>IF(AND(Z21&gt;=Scoring!$B$18,E21&gt;=Scoring!$B$20,Y21&lt;&gt;"Already takes broker loans"),"Tier 1",IF(Z21&gt;=Scoring!$B$19,"Tier 2","Tier 3"))</f>
        <v/>
      </c>
      <c r="AB21" s="21" t="n"/>
      <c r="AC21" s="21" t="n"/>
    </row>
    <row r="22">
      <c r="A22" s="10" t="inlineStr">
        <is>
          <t>cu:68485</t>
        </is>
      </c>
      <c r="B22" s="10" t="inlineStr">
        <is>
          <t>American First CU</t>
        </is>
      </c>
      <c r="C22" s="10" t="inlineStr">
        <is>
          <t>Brea</t>
        </is>
      </c>
      <c r="D22" s="10" t="inlineStr">
        <is>
          <t>Orange</t>
        </is>
      </c>
      <c r="E22" s="17" t="n">
        <v>1369.215512</v>
      </c>
      <c r="F22" s="17" t="n">
        <v>1181.118983</v>
      </c>
      <c r="G22" s="17" t="n">
        <v>1164.029075</v>
      </c>
      <c r="H22" s="17" t="n">
        <v>124.308314</v>
      </c>
      <c r="I22" s="18">
        <f>IF(F22=0,"",G22/F22)</f>
        <v/>
      </c>
      <c r="J22" s="19" t="n">
        <v>0.08952876367938782</v>
      </c>
      <c r="K22" s="19" t="n">
        <v>0.1009</v>
      </c>
      <c r="L22" s="18">
        <f>IF(G22=0,"",H22/G22)</f>
        <v/>
      </c>
      <c r="M22" s="17" t="n">
        <v>9.151005</v>
      </c>
      <c r="N22" s="18">
        <f>IF(E22=0,"",2*M22/E22)</f>
        <v/>
      </c>
      <c r="O22" s="17" t="n">
        <v>1.428129</v>
      </c>
      <c r="P22" s="19" t="n">
        <v>0.2720506141827672</v>
      </c>
      <c r="Q22" s="19" t="n">
        <v>0.3713184543114911</v>
      </c>
      <c r="R22" s="18">
        <f>IF(OR(P22="",Q22=""),"",P22-Q22)</f>
        <v/>
      </c>
      <c r="S22" s="17" t="n">
        <v>74</v>
      </c>
      <c r="T22" s="17" t="n">
        <v>10.8</v>
      </c>
      <c r="U22" s="19" t="n">
        <v>0.5945945945945946</v>
      </c>
      <c r="V22" s="17" t="n">
        <v>3</v>
      </c>
      <c r="W22" s="17" t="n">
        <v>3</v>
      </c>
      <c r="X22" s="19" t="n">
        <v>0.01351351351351351</v>
      </c>
      <c r="Y22" s="10" t="inlineStr">
        <is>
          <t>Mostly retail, a few broker loans</t>
        </is>
      </c>
      <c r="Z22" s="20">
        <f>ROUND(100*(Scoring!$B$11*(1-IFERROR(PERCENTRANK($I$2:$I$67,I22),0.5))+Scoring!$B$12*IFERROR(PERCENTRANK($J$2:$J$67,J22),0.5)+Scoring!$B$13*IFERROR(PERCENTRANK($K$2:$K$67,K22),0.5)+Scoring!$B$14*IFERROR(PERCENTRANK($R$2:$R$67,R22),0.5)+Scoring!$B$15*(1-IFERROR(PERCENTRANK($N$2:$N$67,N22),0.5))+Scoring!$B$16*(1-IFERROR(PERCENTRANK($L$2:$L$67,L22),0.5))),0)</f>
        <v/>
      </c>
      <c r="AA22" s="10">
        <f>IF(AND(Z22&gt;=Scoring!$B$18,E22&gt;=Scoring!$B$20,Y22&lt;&gt;"Already takes broker loans"),"Tier 1",IF(Z22&gt;=Scoring!$B$19,"Tier 2","Tier 3"))</f>
        <v/>
      </c>
      <c r="AB22" s="21" t="n"/>
      <c r="AC22" s="21" t="n"/>
    </row>
    <row r="23">
      <c r="A23" s="10" t="inlineStr">
        <is>
          <t>cu:1074</t>
        </is>
      </c>
      <c r="B23" s="10" t="inlineStr">
        <is>
          <t>Farmers Insurance CU</t>
        </is>
      </c>
      <c r="C23" s="10" t="inlineStr">
        <is>
          <t>Los Angeles</t>
        </is>
      </c>
      <c r="D23" s="10" t="inlineStr">
        <is>
          <t>Los Angeles</t>
        </is>
      </c>
      <c r="E23" s="17" t="n">
        <v>1329.890378</v>
      </c>
      <c r="F23" s="17" t="n">
        <v>1140.819199</v>
      </c>
      <c r="G23" s="17" t="n">
        <v>1184.688345</v>
      </c>
      <c r="H23" s="17" t="n">
        <v>281.374744</v>
      </c>
      <c r="I23" s="18">
        <f>IF(F23=0,"",G23/F23)</f>
        <v/>
      </c>
      <c r="J23" s="19" t="n">
        <v>0.09247715679013657</v>
      </c>
      <c r="K23" s="19" t="n">
        <v>0.09859999999999999</v>
      </c>
      <c r="L23" s="18">
        <f>IF(G23=0,"",H23/G23)</f>
        <v/>
      </c>
      <c r="M23" s="17" t="n">
        <v>36.880178</v>
      </c>
      <c r="N23" s="18">
        <f>IF(E23=0,"",2*M23/E23)</f>
        <v/>
      </c>
      <c r="O23" s="17" t="n">
        <v>5.425564</v>
      </c>
      <c r="P23" s="19" t="n">
        <v>-0.05785719293182268</v>
      </c>
      <c r="Q23" s="19" t="n">
        <v>-0.04885159667136818</v>
      </c>
      <c r="R23" s="18">
        <f>IF(OR(P23="",Q23=""),"",P23-Q23)</f>
        <v/>
      </c>
      <c r="S23" s="17" t="n">
        <v>309</v>
      </c>
      <c r="T23" s="17" t="n">
        <v>78.395</v>
      </c>
      <c r="U23" s="19" t="n">
        <v>0.9579288025889967</v>
      </c>
      <c r="V23" s="17" t="n">
        <v>0</v>
      </c>
      <c r="W23" s="17" t="n">
        <v>6</v>
      </c>
      <c r="X23" s="19" t="n">
        <v>0</v>
      </c>
      <c r="Y23" s="10" t="inlineStr">
        <is>
          <t>Retail only</t>
        </is>
      </c>
      <c r="Z23" s="20">
        <f>ROUND(100*(Scoring!$B$11*(1-IFERROR(PERCENTRANK($I$2:$I$67,I23),0.5))+Scoring!$B$12*IFERROR(PERCENTRANK($J$2:$J$67,J23),0.5)+Scoring!$B$13*IFERROR(PERCENTRANK($K$2:$K$67,K23),0.5)+Scoring!$B$14*IFERROR(PERCENTRANK($R$2:$R$67,R23),0.5)+Scoring!$B$15*(1-IFERROR(PERCENTRANK($N$2:$N$67,N23),0.5))+Scoring!$B$16*(1-IFERROR(PERCENTRANK($L$2:$L$67,L23),0.5))),0)</f>
        <v/>
      </c>
      <c r="AA23" s="10">
        <f>IF(AND(Z23&gt;=Scoring!$B$18,E23&gt;=Scoring!$B$20,Y23&lt;&gt;"Already takes broker loans"),"Tier 1",IF(Z23&gt;=Scoring!$B$19,"Tier 2","Tier 3"))</f>
        <v/>
      </c>
      <c r="AB23" s="21" t="n"/>
      <c r="AC23" s="21" t="n"/>
    </row>
    <row r="24">
      <c r="A24" s="10" t="inlineStr">
        <is>
          <t>cu:68415</t>
        </is>
      </c>
      <c r="B24" s="10" t="inlineStr">
        <is>
          <t>Southland CU</t>
        </is>
      </c>
      <c r="C24" s="10" t="inlineStr">
        <is>
          <t>Los Alamitos</t>
        </is>
      </c>
      <c r="D24" s="10" t="inlineStr">
        <is>
          <t>Orange</t>
        </is>
      </c>
      <c r="E24" s="17" t="n">
        <v>1308.174025</v>
      </c>
      <c r="F24" s="17" t="n">
        <v>1051.515739</v>
      </c>
      <c r="G24" s="17" t="n">
        <v>869.673975</v>
      </c>
      <c r="H24" s="17" t="n">
        <v>308.587265</v>
      </c>
      <c r="I24" s="18">
        <f>IF(F24=0,"",G24/F24)</f>
        <v/>
      </c>
      <c r="J24" s="19" t="n">
        <v>0.2808241739855674</v>
      </c>
      <c r="K24" s="19" t="n">
        <v>0.0856</v>
      </c>
      <c r="L24" s="18">
        <f>IF(G24=0,"",H24/G24)</f>
        <v/>
      </c>
      <c r="M24" s="17" t="n">
        <v>24.609307</v>
      </c>
      <c r="N24" s="18">
        <f>IF(E24=0,"",2*M24/E24)</f>
        <v/>
      </c>
      <c r="O24" s="17" t="n">
        <v>1.0345</v>
      </c>
      <c r="P24" s="19" t="n">
        <v>-0.04008417310622092</v>
      </c>
      <c r="Q24" s="19" t="n">
        <v>-0.02955057494867996</v>
      </c>
      <c r="R24" s="18">
        <f>IF(OR(P24="",Q24=""),"",P24-Q24)</f>
        <v/>
      </c>
      <c r="S24" s="17" t="n">
        <v>107</v>
      </c>
      <c r="T24" s="17" t="n">
        <v>79.075</v>
      </c>
      <c r="U24" s="19" t="n">
        <v>0.9065420560747663</v>
      </c>
      <c r="V24" s="17" t="n">
        <v>1</v>
      </c>
      <c r="W24" s="17" t="n">
        <v>27</v>
      </c>
      <c r="X24" s="19" t="n">
        <v>0</v>
      </c>
      <c r="Y24" s="10" t="inlineStr">
        <is>
          <t>Retail only</t>
        </is>
      </c>
      <c r="Z24" s="20">
        <f>ROUND(100*(Scoring!$B$11*(1-IFERROR(PERCENTRANK($I$2:$I$67,I24),0.5))+Scoring!$B$12*IFERROR(PERCENTRANK($J$2:$J$67,J24),0.5)+Scoring!$B$13*IFERROR(PERCENTRANK($K$2:$K$67,K24),0.5)+Scoring!$B$14*IFERROR(PERCENTRANK($R$2:$R$67,R24),0.5)+Scoring!$B$15*(1-IFERROR(PERCENTRANK($N$2:$N$67,N24),0.5))+Scoring!$B$16*(1-IFERROR(PERCENTRANK($L$2:$L$67,L24),0.5))),0)</f>
        <v/>
      </c>
      <c r="AA24" s="10">
        <f>IF(AND(Z24&gt;=Scoring!$B$18,E24&gt;=Scoring!$B$20,Y24&lt;&gt;"Already takes broker loans"),"Tier 1",IF(Z24&gt;=Scoring!$B$19,"Tier 2","Tier 3"))</f>
        <v/>
      </c>
      <c r="AB24" s="21" t="n"/>
      <c r="AC24" s="21" t="n"/>
    </row>
    <row r="25">
      <c r="A25" s="10" t="inlineStr">
        <is>
          <t>cu:7835</t>
        </is>
      </c>
      <c r="B25" s="10" t="inlineStr">
        <is>
          <t>Rize CU</t>
        </is>
      </c>
      <c r="C25" s="10" t="inlineStr">
        <is>
          <t>El Monte</t>
        </is>
      </c>
      <c r="D25" s="10" t="inlineStr">
        <is>
          <t>Los Angeles</t>
        </is>
      </c>
      <c r="E25" s="17" t="n">
        <v>1293.726752</v>
      </c>
      <c r="F25" s="17" t="n">
        <v>1055.128521</v>
      </c>
      <c r="G25" s="17" t="n">
        <v>1025.793537</v>
      </c>
      <c r="H25" s="17" t="n">
        <v>135.079905</v>
      </c>
      <c r="I25" s="18">
        <f>IF(F25=0,"",G25/F25)</f>
        <v/>
      </c>
      <c r="J25" s="19" t="n">
        <v>0.1653663601446498</v>
      </c>
      <c r="K25" s="19" t="n">
        <v>0.1039</v>
      </c>
      <c r="L25" s="18">
        <f>IF(G25=0,"",H25/G25)</f>
        <v/>
      </c>
      <c r="M25" s="17" t="n">
        <v>20.614308</v>
      </c>
      <c r="N25" s="18">
        <f>IF(E25=0,"",2*M25/E25)</f>
        <v/>
      </c>
      <c r="O25" s="17" t="n">
        <v>0</v>
      </c>
      <c r="P25" s="19" t="n">
        <v>0.03320138295304975</v>
      </c>
      <c r="Q25" s="19" t="n">
        <v>0.1015216004979038</v>
      </c>
      <c r="R25" s="18">
        <f>IF(OR(P25="",Q25=""),"",P25-Q25)</f>
        <v/>
      </c>
      <c r="S25" s="17" t="n">
        <v>292</v>
      </c>
      <c r="T25" s="17" t="n">
        <v>45.62</v>
      </c>
      <c r="U25" s="19" t="n">
        <v>0.9863013698630136</v>
      </c>
      <c r="V25" s="20" t="n"/>
      <c r="W25" s="17" t="n">
        <v>15</v>
      </c>
      <c r="X25" s="18" t="n"/>
      <c r="Y25" s="10" t="inlineStr">
        <is>
          <t>Unknown (small filer, channel not reported)</t>
        </is>
      </c>
      <c r="Z25" s="20">
        <f>ROUND(100*(Scoring!$B$11*(1-IFERROR(PERCENTRANK($I$2:$I$67,I25),0.5))+Scoring!$B$12*IFERROR(PERCENTRANK($J$2:$J$67,J25),0.5)+Scoring!$B$13*IFERROR(PERCENTRANK($K$2:$K$67,K25),0.5)+Scoring!$B$14*IFERROR(PERCENTRANK($R$2:$R$67,R25),0.5)+Scoring!$B$15*(1-IFERROR(PERCENTRANK($N$2:$N$67,N25),0.5))+Scoring!$B$16*(1-IFERROR(PERCENTRANK($L$2:$L$67,L25),0.5))),0)</f>
        <v/>
      </c>
      <c r="AA25" s="10">
        <f>IF(AND(Z25&gt;=Scoring!$B$18,E25&gt;=Scoring!$B$20,Y25&lt;&gt;"Already takes broker loans"),"Tier 1",IF(Z25&gt;=Scoring!$B$19,"Tier 2","Tier 3"))</f>
        <v/>
      </c>
      <c r="AB25" s="21" t="n"/>
      <c r="AC25" s="21" t="n"/>
    </row>
    <row r="26">
      <c r="A26" s="10" t="inlineStr">
        <is>
          <t>cu:1207</t>
        </is>
      </c>
      <c r="B26" s="10" t="inlineStr">
        <is>
          <t>Los Angeles CU</t>
        </is>
      </c>
      <c r="C26" s="10" t="inlineStr">
        <is>
          <t>Glendale</t>
        </is>
      </c>
      <c r="D26" s="10" t="inlineStr">
        <is>
          <t>Los Angeles</t>
        </is>
      </c>
      <c r="E26" s="17" t="n">
        <v>1290.807181</v>
      </c>
      <c r="F26" s="17" t="n">
        <v>1147.029082</v>
      </c>
      <c r="G26" s="17" t="n">
        <v>911.794773</v>
      </c>
      <c r="H26" s="17" t="n">
        <v>268.499628</v>
      </c>
      <c r="I26" s="18">
        <f>IF(F26=0,"",G26/F26)</f>
        <v/>
      </c>
      <c r="J26" s="19" t="n">
        <v>0.2566218416474706</v>
      </c>
      <c r="K26" s="19" t="n">
        <v>0.114</v>
      </c>
      <c r="L26" s="18">
        <f>IF(G26=0,"",H26/G26)</f>
        <v/>
      </c>
      <c r="M26" s="17" t="n">
        <v>6.75876</v>
      </c>
      <c r="N26" s="18">
        <f>IF(E26=0,"",2*M26/E26)</f>
        <v/>
      </c>
      <c r="O26" s="17" t="n">
        <v>0</v>
      </c>
      <c r="P26" s="19" t="n">
        <v>0.03597752694221557</v>
      </c>
      <c r="Q26" s="19" t="n">
        <v>0.03117484713946861</v>
      </c>
      <c r="R26" s="18">
        <f>IF(OR(P26="",Q26=""),"",P26-Q26)</f>
        <v/>
      </c>
      <c r="S26" s="17" t="n">
        <v>100</v>
      </c>
      <c r="T26" s="17" t="n">
        <v>27.57</v>
      </c>
      <c r="U26" s="19" t="n">
        <v>1</v>
      </c>
      <c r="V26" s="17" t="n">
        <v>0</v>
      </c>
      <c r="W26" s="17" t="n">
        <v>3</v>
      </c>
      <c r="X26" s="19" t="n">
        <v>0</v>
      </c>
      <c r="Y26" s="10" t="inlineStr">
        <is>
          <t>Retail only</t>
        </is>
      </c>
      <c r="Z26" s="20">
        <f>ROUND(100*(Scoring!$B$11*(1-IFERROR(PERCENTRANK($I$2:$I$67,I26),0.5))+Scoring!$B$12*IFERROR(PERCENTRANK($J$2:$J$67,J26),0.5)+Scoring!$B$13*IFERROR(PERCENTRANK($K$2:$K$67,K26),0.5)+Scoring!$B$14*IFERROR(PERCENTRANK($R$2:$R$67,R26),0.5)+Scoring!$B$15*(1-IFERROR(PERCENTRANK($N$2:$N$67,N26),0.5))+Scoring!$B$16*(1-IFERROR(PERCENTRANK($L$2:$L$67,L26),0.5))),0)</f>
        <v/>
      </c>
      <c r="AA26" s="10">
        <f>IF(AND(Z26&gt;=Scoring!$B$18,E26&gt;=Scoring!$B$20,Y26&lt;&gt;"Already takes broker loans"),"Tier 1",IF(Z26&gt;=Scoring!$B$19,"Tier 2","Tier 3"))</f>
        <v/>
      </c>
      <c r="AB26" s="21" t="n"/>
      <c r="AC26" s="21" t="n"/>
    </row>
    <row r="27">
      <c r="A27" s="10" t="inlineStr">
        <is>
          <t>cu:17623</t>
        </is>
      </c>
      <c r="B27" s="10" t="inlineStr">
        <is>
          <t>Honda CU</t>
        </is>
      </c>
      <c r="C27" s="10" t="inlineStr">
        <is>
          <t>Torrance</t>
        </is>
      </c>
      <c r="D27" s="10" t="inlineStr">
        <is>
          <t>Los Angeles</t>
        </is>
      </c>
      <c r="E27" s="17" t="n">
        <v>1197.389105</v>
      </c>
      <c r="F27" s="17" t="n">
        <v>1035.292477</v>
      </c>
      <c r="G27" s="17" t="n">
        <v>931.540666</v>
      </c>
      <c r="H27" s="17" t="n">
        <v>435.766924</v>
      </c>
      <c r="I27" s="18">
        <f>IF(F27=0,"",G27/F27)</f>
        <v/>
      </c>
      <c r="J27" s="19" t="n">
        <v>0.1978350621454836</v>
      </c>
      <c r="K27" s="19" t="n">
        <v>0.0929</v>
      </c>
      <c r="L27" s="18">
        <f>IF(G27=0,"",H27/G27)</f>
        <v/>
      </c>
      <c r="M27" s="17" t="n">
        <v>25.933699</v>
      </c>
      <c r="N27" s="18">
        <f>IF(E27=0,"",2*M27/E27)</f>
        <v/>
      </c>
      <c r="O27" s="17" t="n">
        <v>0</v>
      </c>
      <c r="P27" s="19" t="n">
        <v>0.003477836361376774</v>
      </c>
      <c r="Q27" s="19" t="n">
        <v>0.04286763608969868</v>
      </c>
      <c r="R27" s="18">
        <f>IF(OR(P27="",Q27=""),"",P27-Q27)</f>
        <v/>
      </c>
      <c r="S27" s="20" t="n"/>
      <c r="T27" s="20" t="n"/>
      <c r="U27" s="18" t="n"/>
      <c r="V27" s="20" t="n"/>
      <c r="W27" s="20" t="n"/>
      <c r="X27" s="18" t="n"/>
      <c r="Y27" s="10" t="inlineStr">
        <is>
          <t>No HMDA mortgage reporting</t>
        </is>
      </c>
      <c r="Z27" s="20">
        <f>ROUND(100*(Scoring!$B$11*(1-IFERROR(PERCENTRANK($I$2:$I$67,I27),0.5))+Scoring!$B$12*IFERROR(PERCENTRANK($J$2:$J$67,J27),0.5)+Scoring!$B$13*IFERROR(PERCENTRANK($K$2:$K$67,K27),0.5)+Scoring!$B$14*IFERROR(PERCENTRANK($R$2:$R$67,R27),0.5)+Scoring!$B$15*(1-IFERROR(PERCENTRANK($N$2:$N$67,N27),0.5))+Scoring!$B$16*(1-IFERROR(PERCENTRANK($L$2:$L$67,L27),0.5))),0)</f>
        <v/>
      </c>
      <c r="AA27" s="10">
        <f>IF(AND(Z27&gt;=Scoring!$B$18,E27&gt;=Scoring!$B$20,Y27&lt;&gt;"Already takes broker loans"),"Tier 1",IF(Z27&gt;=Scoring!$B$19,"Tier 2","Tier 3"))</f>
        <v/>
      </c>
      <c r="AB27" s="21" t="n"/>
      <c r="AC27" s="21" t="n"/>
    </row>
    <row r="28">
      <c r="A28" s="10" t="inlineStr">
        <is>
          <t>cu:64171</t>
        </is>
      </c>
      <c r="B28" s="10" t="inlineStr">
        <is>
          <t>University CU</t>
        </is>
      </c>
      <c r="C28" s="10" t="inlineStr">
        <is>
          <t>Los Angeles</t>
        </is>
      </c>
      <c r="D28" s="10" t="inlineStr">
        <is>
          <t>Los Angeles</t>
        </is>
      </c>
      <c r="E28" s="17" t="n">
        <v>1170.094815</v>
      </c>
      <c r="F28" s="17" t="n">
        <v>990.86221</v>
      </c>
      <c r="G28" s="17" t="n">
        <v>998.356609</v>
      </c>
      <c r="H28" s="17" t="n">
        <v>441.782434</v>
      </c>
      <c r="I28" s="18">
        <f>IF(F28=0,"",G28/F28)</f>
        <v/>
      </c>
      <c r="J28" s="19" t="n">
        <v>0.08383277640624362</v>
      </c>
      <c r="K28" s="19" t="n">
        <v>0.0873</v>
      </c>
      <c r="L28" s="18">
        <f>IF(G28=0,"",H28/G28)</f>
        <v/>
      </c>
      <c r="M28" s="17" t="n">
        <v>19.629928</v>
      </c>
      <c r="N28" s="18">
        <f>IF(E28=0,"",2*M28/E28)</f>
        <v/>
      </c>
      <c r="O28" s="17" t="n">
        <v>5.535767</v>
      </c>
      <c r="P28" s="19" t="n">
        <v>0.01363314408288452</v>
      </c>
      <c r="Q28" s="19" t="n">
        <v>0.02317414396581774</v>
      </c>
      <c r="R28" s="18">
        <f>IF(OR(P28="",Q28=""),"",P28-Q28)</f>
        <v/>
      </c>
      <c r="S28" s="17" t="n">
        <v>58</v>
      </c>
      <c r="T28" s="17" t="n">
        <v>34.05</v>
      </c>
      <c r="U28" s="19" t="n">
        <v>0.603448275862069</v>
      </c>
      <c r="V28" s="17" t="n">
        <v>0</v>
      </c>
      <c r="W28" s="17" t="n">
        <v>5</v>
      </c>
      <c r="X28" s="19" t="n">
        <v>0</v>
      </c>
      <c r="Y28" s="10" t="inlineStr">
        <is>
          <t>Retail only</t>
        </is>
      </c>
      <c r="Z28" s="20">
        <f>ROUND(100*(Scoring!$B$11*(1-IFERROR(PERCENTRANK($I$2:$I$67,I28),0.5))+Scoring!$B$12*IFERROR(PERCENTRANK($J$2:$J$67,J28),0.5)+Scoring!$B$13*IFERROR(PERCENTRANK($K$2:$K$67,K28),0.5)+Scoring!$B$14*IFERROR(PERCENTRANK($R$2:$R$67,R28),0.5)+Scoring!$B$15*(1-IFERROR(PERCENTRANK($N$2:$N$67,N28),0.5))+Scoring!$B$16*(1-IFERROR(PERCENTRANK($L$2:$L$67,L28),0.5))),0)</f>
        <v/>
      </c>
      <c r="AA28" s="10">
        <f>IF(AND(Z28&gt;=Scoring!$B$18,E28&gt;=Scoring!$B$20,Y28&lt;&gt;"Already takes broker loans"),"Tier 1",IF(Z28&gt;=Scoring!$B$19,"Tier 2","Tier 3"))</f>
        <v/>
      </c>
      <c r="AB28" s="21" t="n"/>
      <c r="AC28" s="21" t="n"/>
    </row>
    <row r="29">
      <c r="A29" s="10" t="inlineStr">
        <is>
          <t>cu:68493</t>
        </is>
      </c>
      <c r="B29" s="10" t="inlineStr">
        <is>
          <t>Water and Power Community CU</t>
        </is>
      </c>
      <c r="C29" s="10" t="inlineStr">
        <is>
          <t>Los Angeles</t>
        </is>
      </c>
      <c r="D29" s="10" t="inlineStr">
        <is>
          <t>Los Angeles</t>
        </is>
      </c>
      <c r="E29" s="17" t="n">
        <v>1020.424333</v>
      </c>
      <c r="F29" s="17" t="n">
        <v>826.151342</v>
      </c>
      <c r="G29" s="17" t="n">
        <v>692.6925670000001</v>
      </c>
      <c r="H29" s="17" t="n">
        <v>373.421299</v>
      </c>
      <c r="I29" s="18">
        <f>IF(F29=0,"",G29/F29)</f>
        <v/>
      </c>
      <c r="J29" s="19" t="n">
        <v>0.282127544091013</v>
      </c>
      <c r="K29" s="19" t="n">
        <v>0.1019</v>
      </c>
      <c r="L29" s="18">
        <f>IF(G29=0,"",H29/G29)</f>
        <v/>
      </c>
      <c r="M29" s="17" t="n">
        <v>51.739756</v>
      </c>
      <c r="N29" s="18">
        <f>IF(E29=0,"",2*M29/E29)</f>
        <v/>
      </c>
      <c r="O29" s="17" t="n">
        <v>0</v>
      </c>
      <c r="P29" s="19" t="n">
        <v>0.004418526148228796</v>
      </c>
      <c r="Q29" s="19" t="n">
        <v>0.004434883529254696</v>
      </c>
      <c r="R29" s="18">
        <f>IF(OR(P29="",Q29=""),"",P29-Q29)</f>
        <v/>
      </c>
      <c r="S29" s="17" t="n">
        <v>182</v>
      </c>
      <c r="T29" s="17" t="n">
        <v>105</v>
      </c>
      <c r="U29" s="19" t="n">
        <v>0.005494505494505495</v>
      </c>
      <c r="V29" s="17" t="n">
        <v>1</v>
      </c>
      <c r="W29" s="17" t="n">
        <v>10</v>
      </c>
      <c r="X29" s="19" t="n">
        <v>0</v>
      </c>
      <c r="Y29" s="10" t="inlineStr">
        <is>
          <t>Retail only</t>
        </is>
      </c>
      <c r="Z29" s="20">
        <f>ROUND(100*(Scoring!$B$11*(1-IFERROR(PERCENTRANK($I$2:$I$67,I29),0.5))+Scoring!$B$12*IFERROR(PERCENTRANK($J$2:$J$67,J29),0.5)+Scoring!$B$13*IFERROR(PERCENTRANK($K$2:$K$67,K29),0.5)+Scoring!$B$14*IFERROR(PERCENTRANK($R$2:$R$67,R29),0.5)+Scoring!$B$15*(1-IFERROR(PERCENTRANK($N$2:$N$67,N29),0.5))+Scoring!$B$16*(1-IFERROR(PERCENTRANK($L$2:$L$67,L29),0.5))),0)</f>
        <v/>
      </c>
      <c r="AA29" s="10">
        <f>IF(AND(Z29&gt;=Scoring!$B$18,E29&gt;=Scoring!$B$20,Y29&lt;&gt;"Already takes broker loans"),"Tier 1",IF(Z29&gt;=Scoring!$B$19,"Tier 2","Tier 3"))</f>
        <v/>
      </c>
      <c r="AB29" s="21" t="n"/>
      <c r="AC29" s="21" t="n"/>
    </row>
    <row r="30">
      <c r="A30" s="10" t="inlineStr">
        <is>
          <t>cu:68503</t>
        </is>
      </c>
      <c r="B30" s="10" t="inlineStr">
        <is>
          <t>First City CU</t>
        </is>
      </c>
      <c r="C30" s="10" t="inlineStr">
        <is>
          <t>Pasadena</t>
        </is>
      </c>
      <c r="D30" s="10" t="inlineStr">
        <is>
          <t>Los Angeles</t>
        </is>
      </c>
      <c r="E30" s="17" t="n">
        <v>948.508356</v>
      </c>
      <c r="F30" s="17" t="n">
        <v>816.164298</v>
      </c>
      <c r="G30" s="17" t="n">
        <v>465.115085</v>
      </c>
      <c r="H30" s="17" t="n">
        <v>204.439812</v>
      </c>
      <c r="I30" s="18">
        <f>IF(F30=0,"",G30/F30)</f>
        <v/>
      </c>
      <c r="J30" s="19" t="n">
        <v>0.4459107116184435</v>
      </c>
      <c r="K30" s="19" t="n">
        <v>0.1352</v>
      </c>
      <c r="L30" s="18">
        <f>IF(G30=0,"",H30/G30)</f>
        <v/>
      </c>
      <c r="M30" s="17" t="n">
        <v>32.278876</v>
      </c>
      <c r="N30" s="18">
        <f>IF(E30=0,"",2*M30/E30)</f>
        <v/>
      </c>
      <c r="O30" s="17" t="n">
        <v>0</v>
      </c>
      <c r="P30" s="19" t="n">
        <v>0.008670284687877894</v>
      </c>
      <c r="Q30" s="19" t="n">
        <v>0.1156603264762395</v>
      </c>
      <c r="R30" s="18">
        <f>IF(OR(P30="",Q30=""),"",P30-Q30)</f>
        <v/>
      </c>
      <c r="S30" s="17" t="n">
        <v>126</v>
      </c>
      <c r="T30" s="17" t="n">
        <v>25.65</v>
      </c>
      <c r="U30" s="19" t="n">
        <v>1</v>
      </c>
      <c r="V30" s="17" t="n">
        <v>0</v>
      </c>
      <c r="W30" s="17" t="n">
        <v>2</v>
      </c>
      <c r="X30" s="19" t="n">
        <v>0</v>
      </c>
      <c r="Y30" s="10" t="inlineStr">
        <is>
          <t>Retail only</t>
        </is>
      </c>
      <c r="Z30" s="20">
        <f>ROUND(100*(Scoring!$B$11*(1-IFERROR(PERCENTRANK($I$2:$I$67,I30),0.5))+Scoring!$B$12*IFERROR(PERCENTRANK($J$2:$J$67,J30),0.5)+Scoring!$B$13*IFERROR(PERCENTRANK($K$2:$K$67,K30),0.5)+Scoring!$B$14*IFERROR(PERCENTRANK($R$2:$R$67,R30),0.5)+Scoring!$B$15*(1-IFERROR(PERCENTRANK($N$2:$N$67,N30),0.5))+Scoring!$B$16*(1-IFERROR(PERCENTRANK($L$2:$L$67,L30),0.5))),0)</f>
        <v/>
      </c>
      <c r="AA30" s="10">
        <f>IF(AND(Z30&gt;=Scoring!$B$18,E30&gt;=Scoring!$B$20,Y30&lt;&gt;"Already takes broker loans"),"Tier 1",IF(Z30&gt;=Scoring!$B$19,"Tier 2","Tier 3"))</f>
        <v/>
      </c>
      <c r="AB30" s="21" t="n"/>
      <c r="AC30" s="21" t="n"/>
    </row>
    <row r="31">
      <c r="A31" s="10" t="inlineStr">
        <is>
          <t>cu:9230</t>
        </is>
      </c>
      <c r="B31" s="10" t="inlineStr">
        <is>
          <t>Certified CU</t>
        </is>
      </c>
      <c r="C31" s="10" t="inlineStr">
        <is>
          <t>El Monte</t>
        </is>
      </c>
      <c r="D31" s="10" t="inlineStr">
        <is>
          <t>Los Angeles</t>
        </is>
      </c>
      <c r="E31" s="17" t="n">
        <v>925.328421</v>
      </c>
      <c r="F31" s="17" t="n">
        <v>723.919771</v>
      </c>
      <c r="G31" s="17" t="n">
        <v>585.355607</v>
      </c>
      <c r="H31" s="17" t="n">
        <v>285.904791</v>
      </c>
      <c r="I31" s="18">
        <f>IF(F31=0,"",G31/F31)</f>
        <v/>
      </c>
      <c r="J31" s="19" t="n">
        <v>0.3363956374144483</v>
      </c>
      <c r="K31" s="19" t="n">
        <v>0.2071</v>
      </c>
      <c r="L31" s="18">
        <f>IF(G31=0,"",H31/G31)</f>
        <v/>
      </c>
      <c r="M31" s="17" t="n">
        <v>13.7596</v>
      </c>
      <c r="N31" s="18">
        <f>IF(E31=0,"",2*M31/E31)</f>
        <v/>
      </c>
      <c r="O31" s="17" t="n">
        <v>0</v>
      </c>
      <c r="P31" s="19" t="n">
        <v>0.0272443458447984</v>
      </c>
      <c r="Q31" s="19" t="n">
        <v>0.03305972105250987</v>
      </c>
      <c r="R31" s="18">
        <f>IF(OR(P31="",Q31=""),"",P31-Q31)</f>
        <v/>
      </c>
      <c r="S31" s="17" t="n">
        <v>101</v>
      </c>
      <c r="T31" s="17" t="n">
        <v>29.545</v>
      </c>
      <c r="U31" s="19" t="n">
        <v>1</v>
      </c>
      <c r="V31" s="17" t="n">
        <v>0</v>
      </c>
      <c r="W31" s="17" t="n">
        <v>0</v>
      </c>
      <c r="X31" s="19" t="n">
        <v>0</v>
      </c>
      <c r="Y31" s="10" t="inlineStr">
        <is>
          <t>Retail only</t>
        </is>
      </c>
      <c r="Z31" s="20">
        <f>ROUND(100*(Scoring!$B$11*(1-IFERROR(PERCENTRANK($I$2:$I$67,I31),0.5))+Scoring!$B$12*IFERROR(PERCENTRANK($J$2:$J$67,J31),0.5)+Scoring!$B$13*IFERROR(PERCENTRANK($K$2:$K$67,K31),0.5)+Scoring!$B$14*IFERROR(PERCENTRANK($R$2:$R$67,R31),0.5)+Scoring!$B$15*(1-IFERROR(PERCENTRANK($N$2:$N$67,N31),0.5))+Scoring!$B$16*(1-IFERROR(PERCENTRANK($L$2:$L$67,L31),0.5))),0)</f>
        <v/>
      </c>
      <c r="AA31" s="10">
        <f>IF(AND(Z31&gt;=Scoring!$B$18,E31&gt;=Scoring!$B$20,Y31&lt;&gt;"Already takes broker loans"),"Tier 1",IF(Z31&gt;=Scoring!$B$19,"Tier 2","Tier 3"))</f>
        <v/>
      </c>
      <c r="AB31" s="21" t="n"/>
      <c r="AC31" s="21" t="n"/>
    </row>
    <row r="32">
      <c r="A32" s="10" t="inlineStr">
        <is>
          <t>cu:6248</t>
        </is>
      </c>
      <c r="B32" s="10" t="inlineStr">
        <is>
          <t>Skyone CU</t>
        </is>
      </c>
      <c r="C32" s="10" t="inlineStr">
        <is>
          <t>Hawthorne</t>
        </is>
      </c>
      <c r="D32" s="10" t="inlineStr">
        <is>
          <t>Los Angeles</t>
        </is>
      </c>
      <c r="E32" s="17" t="n">
        <v>863.339885</v>
      </c>
      <c r="F32" s="17" t="n">
        <v>732.2873039999999</v>
      </c>
      <c r="G32" s="17" t="n">
        <v>622.352536</v>
      </c>
      <c r="H32" s="17" t="n">
        <v>139.892153</v>
      </c>
      <c r="I32" s="18">
        <f>IF(F32=0,"",G32/F32)</f>
        <v/>
      </c>
      <c r="J32" s="19" t="n">
        <v>0.1757377582526493</v>
      </c>
      <c r="K32" s="19" t="n">
        <v>0.0767</v>
      </c>
      <c r="L32" s="18">
        <f>IF(G32=0,"",H32/G32)</f>
        <v/>
      </c>
      <c r="M32" s="17" t="n">
        <v>19.845086</v>
      </c>
      <c r="N32" s="18">
        <f>IF(E32=0,"",2*M32/E32)</f>
        <v/>
      </c>
      <c r="O32" s="17" t="n">
        <v>0</v>
      </c>
      <c r="P32" s="19" t="n">
        <v>0.003777605620392421</v>
      </c>
      <c r="Q32" s="19" t="n">
        <v>-0.01904855098654024</v>
      </c>
      <c r="R32" s="18">
        <f>IF(OR(P32="",Q32=""),"",P32-Q32)</f>
        <v/>
      </c>
      <c r="S32" s="17" t="n">
        <v>64</v>
      </c>
      <c r="T32" s="17" t="n">
        <v>20.36</v>
      </c>
      <c r="U32" s="19" t="n">
        <v>0.890625</v>
      </c>
      <c r="V32" s="17" t="n">
        <v>0</v>
      </c>
      <c r="W32" s="17" t="n">
        <v>2</v>
      </c>
      <c r="X32" s="19" t="n">
        <v>0</v>
      </c>
      <c r="Y32" s="10" t="inlineStr">
        <is>
          <t>Retail only</t>
        </is>
      </c>
      <c r="Z32" s="20">
        <f>ROUND(100*(Scoring!$B$11*(1-IFERROR(PERCENTRANK($I$2:$I$67,I32),0.5))+Scoring!$B$12*IFERROR(PERCENTRANK($J$2:$J$67,J32),0.5)+Scoring!$B$13*IFERROR(PERCENTRANK($K$2:$K$67,K32),0.5)+Scoring!$B$14*IFERROR(PERCENTRANK($R$2:$R$67,R32),0.5)+Scoring!$B$15*(1-IFERROR(PERCENTRANK($N$2:$N$67,N32),0.5))+Scoring!$B$16*(1-IFERROR(PERCENTRANK($L$2:$L$67,L32),0.5))),0)</f>
        <v/>
      </c>
      <c r="AA32" s="10">
        <f>IF(AND(Z32&gt;=Scoring!$B$18,E32&gt;=Scoring!$B$20,Y32&lt;&gt;"Already takes broker loans"),"Tier 1",IF(Z32&gt;=Scoring!$B$19,"Tier 2","Tier 3"))</f>
        <v/>
      </c>
      <c r="AB32" s="21" t="n"/>
      <c r="AC32" s="21" t="n"/>
    </row>
    <row r="33">
      <c r="A33" s="10" t="inlineStr">
        <is>
          <t>cu:68062</t>
        </is>
      </c>
      <c r="B33" s="10" t="inlineStr">
        <is>
          <t>America's Christian CU</t>
        </is>
      </c>
      <c r="C33" s="10" t="inlineStr">
        <is>
          <t>Glendora</t>
        </is>
      </c>
      <c r="D33" s="10" t="inlineStr">
        <is>
          <t>Los Angeles</t>
        </is>
      </c>
      <c r="E33" s="17" t="n">
        <v>819.754825</v>
      </c>
      <c r="F33" s="17" t="n">
        <v>729.130232</v>
      </c>
      <c r="G33" s="17" t="n">
        <v>646.974233</v>
      </c>
      <c r="H33" s="17" t="n">
        <v>35.267901</v>
      </c>
      <c r="I33" s="18">
        <f>IF(F33=0,"",G33/F33)</f>
        <v/>
      </c>
      <c r="J33" s="19" t="n">
        <v>0.1288697337036107</v>
      </c>
      <c r="K33" s="19" t="n">
        <v>0.08890000000000001</v>
      </c>
      <c r="L33" s="18">
        <f>IF(G33=0,"",H33/G33)</f>
        <v/>
      </c>
      <c r="M33" s="17" t="n">
        <v>1.162</v>
      </c>
      <c r="N33" s="18">
        <f>IF(E33=0,"",2*M33/E33)</f>
        <v/>
      </c>
      <c r="O33" s="17" t="n">
        <v>0</v>
      </c>
      <c r="P33" s="19" t="n">
        <v>0.1398027669274335</v>
      </c>
      <c r="Q33" s="19" t="n">
        <v>0.09631790745373725</v>
      </c>
      <c r="R33" s="18">
        <f>IF(OR(P33="",Q33=""),"",P33-Q33)</f>
        <v/>
      </c>
      <c r="S33" s="20" t="n"/>
      <c r="T33" s="20" t="n"/>
      <c r="U33" s="18" t="n"/>
      <c r="V33" s="20" t="n"/>
      <c r="W33" s="20" t="n"/>
      <c r="X33" s="18" t="n"/>
      <c r="Y33" s="10" t="inlineStr">
        <is>
          <t>No HMDA mortgage reporting</t>
        </is>
      </c>
      <c r="Z33" s="20">
        <f>ROUND(100*(Scoring!$B$11*(1-IFERROR(PERCENTRANK($I$2:$I$67,I33),0.5))+Scoring!$B$12*IFERROR(PERCENTRANK($J$2:$J$67,J33),0.5)+Scoring!$B$13*IFERROR(PERCENTRANK($K$2:$K$67,K33),0.5)+Scoring!$B$14*IFERROR(PERCENTRANK($R$2:$R$67,R33),0.5)+Scoring!$B$15*(1-IFERROR(PERCENTRANK($N$2:$N$67,N33),0.5))+Scoring!$B$16*(1-IFERROR(PERCENTRANK($L$2:$L$67,L33),0.5))),0)</f>
        <v/>
      </c>
      <c r="AA33" s="10">
        <f>IF(AND(Z33&gt;=Scoring!$B$18,E33&gt;=Scoring!$B$20,Y33&lt;&gt;"Already takes broker loans"),"Tier 1",IF(Z33&gt;=Scoring!$B$19,"Tier 2","Tier 3"))</f>
        <v/>
      </c>
      <c r="AB33" s="21" t="n"/>
      <c r="AC33" s="21" t="n"/>
    </row>
    <row r="34">
      <c r="A34" s="10" t="inlineStr">
        <is>
          <t>cu:12425</t>
        </is>
      </c>
      <c r="B34" s="10" t="inlineStr">
        <is>
          <t>Foothill CU</t>
        </is>
      </c>
      <c r="C34" s="10" t="inlineStr">
        <is>
          <t>Arcadia</t>
        </is>
      </c>
      <c r="D34" s="10" t="inlineStr">
        <is>
          <t>Los Angeles</t>
        </is>
      </c>
      <c r="E34" s="17" t="n">
        <v>778.60253</v>
      </c>
      <c r="F34" s="17" t="n">
        <v>654.682878</v>
      </c>
      <c r="G34" s="17" t="n">
        <v>565.70649</v>
      </c>
      <c r="H34" s="17" t="n">
        <v>211.236075</v>
      </c>
      <c r="I34" s="18">
        <f>IF(F34=0,"",G34/F34)</f>
        <v/>
      </c>
      <c r="J34" s="19" t="n">
        <v>0.2009037499531372</v>
      </c>
      <c r="K34" s="19" t="n">
        <v>0.1229</v>
      </c>
      <c r="L34" s="18">
        <f>IF(G34=0,"",H34/G34)</f>
        <v/>
      </c>
      <c r="M34" s="17" t="n">
        <v>25.01422</v>
      </c>
      <c r="N34" s="18">
        <f>IF(E34=0,"",2*M34/E34)</f>
        <v/>
      </c>
      <c r="O34" s="17" t="n">
        <v>0</v>
      </c>
      <c r="P34" s="19" t="n">
        <v>0.0171581037314894</v>
      </c>
      <c r="Q34" s="19" t="n">
        <v>0.09886535518736816</v>
      </c>
      <c r="R34" s="18">
        <f>IF(OR(P34="",Q34=""),"",P34-Q34)</f>
        <v/>
      </c>
      <c r="S34" s="17" t="n">
        <v>140</v>
      </c>
      <c r="T34" s="17" t="n">
        <v>47.19</v>
      </c>
      <c r="U34" s="19" t="n">
        <v>0.007142857142857143</v>
      </c>
      <c r="V34" s="17" t="n">
        <v>1</v>
      </c>
      <c r="W34" s="17" t="n">
        <v>3</v>
      </c>
      <c r="X34" s="19" t="n">
        <v>0</v>
      </c>
      <c r="Y34" s="10" t="inlineStr">
        <is>
          <t>Retail only</t>
        </is>
      </c>
      <c r="Z34" s="20">
        <f>ROUND(100*(Scoring!$B$11*(1-IFERROR(PERCENTRANK($I$2:$I$67,I34),0.5))+Scoring!$B$12*IFERROR(PERCENTRANK($J$2:$J$67,J34),0.5)+Scoring!$B$13*IFERROR(PERCENTRANK($K$2:$K$67,K34),0.5)+Scoring!$B$14*IFERROR(PERCENTRANK($R$2:$R$67,R34),0.5)+Scoring!$B$15*(1-IFERROR(PERCENTRANK($N$2:$N$67,N34),0.5))+Scoring!$B$16*(1-IFERROR(PERCENTRANK($L$2:$L$67,L34),0.5))),0)</f>
        <v/>
      </c>
      <c r="AA34" s="10">
        <f>IF(AND(Z34&gt;=Scoring!$B$18,E34&gt;=Scoring!$B$20,Y34&lt;&gt;"Already takes broker loans"),"Tier 1",IF(Z34&gt;=Scoring!$B$19,"Tier 2","Tier 3"))</f>
        <v/>
      </c>
      <c r="AB34" s="21" t="n"/>
      <c r="AC34" s="21" t="n"/>
    </row>
    <row r="35">
      <c r="A35" s="10" t="inlineStr">
        <is>
          <t>cu:24875</t>
        </is>
      </c>
      <c r="B35" s="10" t="inlineStr">
        <is>
          <t>The First Financial CU</t>
        </is>
      </c>
      <c r="C35" s="10" t="inlineStr">
        <is>
          <t>Pasadena</t>
        </is>
      </c>
      <c r="D35" s="10" t="inlineStr">
        <is>
          <t>Los Angeles</t>
        </is>
      </c>
      <c r="E35" s="17" t="n">
        <v>748.274748</v>
      </c>
      <c r="F35" s="17" t="n">
        <v>726.826</v>
      </c>
      <c r="G35" s="17" t="n">
        <v>398.685151</v>
      </c>
      <c r="H35" s="17" t="n">
        <v>97.79001599999999</v>
      </c>
      <c r="I35" s="18">
        <f>IF(F35=0,"",G35/F35)</f>
        <v/>
      </c>
      <c r="J35" s="19" t="n">
        <v>0.3378919329775378</v>
      </c>
      <c r="K35" s="19" t="n">
        <v>0.0704</v>
      </c>
      <c r="L35" s="18">
        <f>IF(G35=0,"",H35/G35)</f>
        <v/>
      </c>
      <c r="M35" s="17" t="n">
        <v>0.3502</v>
      </c>
      <c r="N35" s="18">
        <f>IF(E35=0,"",2*M35/E35)</f>
        <v/>
      </c>
      <c r="O35" s="17" t="n">
        <v>0</v>
      </c>
      <c r="P35" s="19" t="n">
        <v>0.01360755585661644</v>
      </c>
      <c r="Q35" s="19" t="n">
        <v>-0.006257892172153889</v>
      </c>
      <c r="R35" s="18">
        <f>IF(OR(P35="",Q35=""),"",P35-Q35)</f>
        <v/>
      </c>
      <c r="S35" s="17" t="n">
        <v>323</v>
      </c>
      <c r="T35" s="17" t="n">
        <v>34.425</v>
      </c>
      <c r="U35" s="19" t="n">
        <v>1</v>
      </c>
      <c r="V35" s="17" t="n">
        <v>0</v>
      </c>
      <c r="W35" s="17" t="n">
        <v>0</v>
      </c>
      <c r="X35" s="19" t="n">
        <v>0.003095975232198143</v>
      </c>
      <c r="Y35" s="10" t="inlineStr">
        <is>
          <t>Mostly retail, a few broker loans</t>
        </is>
      </c>
      <c r="Z35" s="20">
        <f>ROUND(100*(Scoring!$B$11*(1-IFERROR(PERCENTRANK($I$2:$I$67,I35),0.5))+Scoring!$B$12*IFERROR(PERCENTRANK($J$2:$J$67,J35),0.5)+Scoring!$B$13*IFERROR(PERCENTRANK($K$2:$K$67,K35),0.5)+Scoring!$B$14*IFERROR(PERCENTRANK($R$2:$R$67,R35),0.5)+Scoring!$B$15*(1-IFERROR(PERCENTRANK($N$2:$N$67,N35),0.5))+Scoring!$B$16*(1-IFERROR(PERCENTRANK($L$2:$L$67,L35),0.5))),0)</f>
        <v/>
      </c>
      <c r="AA35" s="10">
        <f>IF(AND(Z35&gt;=Scoring!$B$18,E35&gt;=Scoring!$B$20,Y35&lt;&gt;"Already takes broker loans"),"Tier 1",IF(Z35&gt;=Scoring!$B$19,"Tier 2","Tier 3"))</f>
        <v/>
      </c>
      <c r="AB35" s="21" t="n"/>
      <c r="AC35" s="21" t="n"/>
    </row>
    <row r="36">
      <c r="A36" s="10" t="inlineStr">
        <is>
          <t>cu:68459</t>
        </is>
      </c>
      <c r="B36" s="10" t="inlineStr">
        <is>
          <t>USC CU</t>
        </is>
      </c>
      <c r="C36" s="10" t="inlineStr">
        <is>
          <t>Los Angeles</t>
        </is>
      </c>
      <c r="D36" s="10" t="inlineStr">
        <is>
          <t>Los Angeles</t>
        </is>
      </c>
      <c r="E36" s="17" t="n">
        <v>741.133548</v>
      </c>
      <c r="F36" s="17" t="n">
        <v>638.261655</v>
      </c>
      <c r="G36" s="17" t="n">
        <v>602.698288</v>
      </c>
      <c r="H36" s="17" t="n">
        <v>263.287546</v>
      </c>
      <c r="I36" s="18">
        <f>IF(F36=0,"",G36/F36)</f>
        <v/>
      </c>
      <c r="J36" s="19" t="n">
        <v>0.1582383934939618</v>
      </c>
      <c r="K36" s="19" t="n">
        <v>0.1028</v>
      </c>
      <c r="L36" s="18">
        <f>IF(G36=0,"",H36/G36)</f>
        <v/>
      </c>
      <c r="M36" s="17" t="n">
        <v>36.591773</v>
      </c>
      <c r="N36" s="18">
        <f>IF(E36=0,"",2*M36/E36)</f>
        <v/>
      </c>
      <c r="O36" s="17" t="n">
        <v>2.0449</v>
      </c>
      <c r="P36" s="19" t="n">
        <v>0.03139138499719363</v>
      </c>
      <c r="Q36" s="19" t="n">
        <v>0.1210938937236874</v>
      </c>
      <c r="R36" s="18">
        <f>IF(OR(P36="",Q36=""),"",P36-Q36)</f>
        <v/>
      </c>
      <c r="S36" s="17" t="n">
        <v>144</v>
      </c>
      <c r="T36" s="17" t="n">
        <v>55.84</v>
      </c>
      <c r="U36" s="19" t="n">
        <v>0.9236111111111112</v>
      </c>
      <c r="V36" s="17" t="n">
        <v>0</v>
      </c>
      <c r="W36" s="17" t="n">
        <v>0</v>
      </c>
      <c r="X36" s="19" t="n">
        <v>0</v>
      </c>
      <c r="Y36" s="10" t="inlineStr">
        <is>
          <t>Retail only</t>
        </is>
      </c>
      <c r="Z36" s="20">
        <f>ROUND(100*(Scoring!$B$11*(1-IFERROR(PERCENTRANK($I$2:$I$67,I36),0.5))+Scoring!$B$12*IFERROR(PERCENTRANK($J$2:$J$67,J36),0.5)+Scoring!$B$13*IFERROR(PERCENTRANK($K$2:$K$67,K36),0.5)+Scoring!$B$14*IFERROR(PERCENTRANK($R$2:$R$67,R36),0.5)+Scoring!$B$15*(1-IFERROR(PERCENTRANK($N$2:$N$67,N36),0.5))+Scoring!$B$16*(1-IFERROR(PERCENTRANK($L$2:$L$67,L36),0.5))),0)</f>
        <v/>
      </c>
      <c r="AA36" s="10">
        <f>IF(AND(Z36&gt;=Scoring!$B$18,E36&gt;=Scoring!$B$20,Y36&lt;&gt;"Already takes broker loans"),"Tier 1",IF(Z36&gt;=Scoring!$B$19,"Tier 2","Tier 3"))</f>
        <v/>
      </c>
      <c r="AB36" s="21" t="n"/>
      <c r="AC36" s="21" t="n"/>
    </row>
    <row r="37">
      <c r="A37" s="10" t="inlineStr">
        <is>
          <t>cu:24916</t>
        </is>
      </c>
      <c r="B37" s="10" t="inlineStr">
        <is>
          <t>ILWU CU</t>
        </is>
      </c>
      <c r="C37" s="10" t="inlineStr">
        <is>
          <t>Long Beach</t>
        </is>
      </c>
      <c r="D37" s="10" t="inlineStr">
        <is>
          <t>Los Angeles</t>
        </is>
      </c>
      <c r="E37" s="17" t="n">
        <v>607.535358</v>
      </c>
      <c r="F37" s="17" t="n">
        <v>550.2277790000001</v>
      </c>
      <c r="G37" s="17" t="n">
        <v>407.528325</v>
      </c>
      <c r="H37" s="17" t="n">
        <v>124.661185</v>
      </c>
      <c r="I37" s="18">
        <f>IF(F37=0,"",G37/F37)</f>
        <v/>
      </c>
      <c r="J37" s="19" t="n">
        <v>0.2916398011521166</v>
      </c>
      <c r="K37" s="19" t="n">
        <v>0.0994</v>
      </c>
      <c r="L37" s="18">
        <f>IF(G37=0,"",H37/G37)</f>
        <v/>
      </c>
      <c r="M37" s="17" t="n">
        <v>4.962</v>
      </c>
      <c r="N37" s="18">
        <f>IF(E37=0,"",2*M37/E37)</f>
        <v/>
      </c>
      <c r="O37" s="17" t="n">
        <v>0</v>
      </c>
      <c r="P37" s="19" t="n">
        <v>0.160243550955673</v>
      </c>
      <c r="Q37" s="19" t="n">
        <v>0.1159247572543567</v>
      </c>
      <c r="R37" s="18">
        <f>IF(OR(P37="",Q37=""),"",P37-Q37)</f>
        <v/>
      </c>
      <c r="S37" s="17" t="n">
        <v>58</v>
      </c>
      <c r="T37" s="17" t="n">
        <v>11.05</v>
      </c>
      <c r="U37" s="19" t="n">
        <v>1</v>
      </c>
      <c r="V37" s="17" t="n">
        <v>1</v>
      </c>
      <c r="W37" s="17" t="n">
        <v>5</v>
      </c>
      <c r="X37" s="19" t="n">
        <v>0</v>
      </c>
      <c r="Y37" s="10" t="inlineStr">
        <is>
          <t>Retail only</t>
        </is>
      </c>
      <c r="Z37" s="20">
        <f>ROUND(100*(Scoring!$B$11*(1-IFERROR(PERCENTRANK($I$2:$I$67,I37),0.5))+Scoring!$B$12*IFERROR(PERCENTRANK($J$2:$J$67,J37),0.5)+Scoring!$B$13*IFERROR(PERCENTRANK($K$2:$K$67,K37),0.5)+Scoring!$B$14*IFERROR(PERCENTRANK($R$2:$R$67,R37),0.5)+Scoring!$B$15*(1-IFERROR(PERCENTRANK($N$2:$N$67,N37),0.5))+Scoring!$B$16*(1-IFERROR(PERCENTRANK($L$2:$L$67,L37),0.5))),0)</f>
        <v/>
      </c>
      <c r="AA37" s="10">
        <f>IF(AND(Z37&gt;=Scoring!$B$18,E37&gt;=Scoring!$B$20,Y37&lt;&gt;"Already takes broker loans"),"Tier 1",IF(Z37&gt;=Scoring!$B$19,"Tier 2","Tier 3"))</f>
        <v/>
      </c>
      <c r="AB37" s="21" t="n"/>
      <c r="AC37" s="21" t="n"/>
    </row>
    <row r="38">
      <c r="A38" s="10" t="inlineStr">
        <is>
          <t>cu:3943</t>
        </is>
      </c>
      <c r="B38" s="10" t="inlineStr">
        <is>
          <t>Gain CU</t>
        </is>
      </c>
      <c r="C38" s="10" t="inlineStr">
        <is>
          <t>Burbank</t>
        </is>
      </c>
      <c r="D38" s="10" t="inlineStr">
        <is>
          <t>Los Angeles</t>
        </is>
      </c>
      <c r="E38" s="17" t="n">
        <v>453.996333</v>
      </c>
      <c r="F38" s="17" t="n">
        <v>424.124154</v>
      </c>
      <c r="G38" s="17" t="n">
        <v>241.763637</v>
      </c>
      <c r="H38" s="17" t="n">
        <v>123.932586</v>
      </c>
      <c r="I38" s="18">
        <f>IF(F38=0,"",G38/F38)</f>
        <v/>
      </c>
      <c r="J38" s="19" t="n">
        <v>0.4219666307304733</v>
      </c>
      <c r="K38" s="19" t="n">
        <v>0.0814</v>
      </c>
      <c r="L38" s="18">
        <f>IF(G38=0,"",H38/G38)</f>
        <v/>
      </c>
      <c r="M38" s="17" t="n">
        <v>3.559</v>
      </c>
      <c r="N38" s="18">
        <f>IF(E38=0,"",2*M38/E38)</f>
        <v/>
      </c>
      <c r="O38" s="17" t="n">
        <v>0.55</v>
      </c>
      <c r="P38" s="19" t="n">
        <v>0.04607580131089239</v>
      </c>
      <c r="Q38" s="19" t="n">
        <v>0.02558482579465515</v>
      </c>
      <c r="R38" s="18">
        <f>IF(OR(P38="",Q38=""),"",P38-Q38)</f>
        <v/>
      </c>
      <c r="S38" s="17" t="n">
        <v>7</v>
      </c>
      <c r="T38" s="17" t="n">
        <v>1.295</v>
      </c>
      <c r="U38" s="19" t="n">
        <v>0.4285714285714285</v>
      </c>
      <c r="V38" s="17" t="n">
        <v>0</v>
      </c>
      <c r="W38" s="17" t="n">
        <v>1</v>
      </c>
      <c r="X38" s="19" t="n">
        <v>0</v>
      </c>
      <c r="Y38" s="10" t="inlineStr">
        <is>
          <t>Retail only</t>
        </is>
      </c>
      <c r="Z38" s="20">
        <f>ROUND(100*(Scoring!$B$11*(1-IFERROR(PERCENTRANK($I$2:$I$67,I38),0.5))+Scoring!$B$12*IFERROR(PERCENTRANK($J$2:$J$67,J38),0.5)+Scoring!$B$13*IFERROR(PERCENTRANK($K$2:$K$67,K38),0.5)+Scoring!$B$14*IFERROR(PERCENTRANK($R$2:$R$67,R38),0.5)+Scoring!$B$15*(1-IFERROR(PERCENTRANK($N$2:$N$67,N38),0.5))+Scoring!$B$16*(1-IFERROR(PERCENTRANK($L$2:$L$67,L38),0.5))),0)</f>
        <v/>
      </c>
      <c r="AA38" s="10">
        <f>IF(AND(Z38&gt;=Scoring!$B$18,E38&gt;=Scoring!$B$20,Y38&lt;&gt;"Already takes broker loans"),"Tier 1",IF(Z38&gt;=Scoring!$B$19,"Tier 2","Tier 3"))</f>
        <v/>
      </c>
      <c r="AB38" s="21" t="n"/>
      <c r="AC38" s="21" t="n"/>
    </row>
    <row r="39">
      <c r="A39" s="10" t="inlineStr">
        <is>
          <t>cu:14723</t>
        </is>
      </c>
      <c r="B39" s="10" t="inlineStr">
        <is>
          <t>Aerospace CU</t>
        </is>
      </c>
      <c r="C39" s="10" t="inlineStr">
        <is>
          <t>Los Angeles</t>
        </is>
      </c>
      <c r="D39" s="10" t="inlineStr">
        <is>
          <t>Los Angeles</t>
        </is>
      </c>
      <c r="E39" s="17" t="n">
        <v>445.696401</v>
      </c>
      <c r="F39" s="17" t="n">
        <v>325.535999</v>
      </c>
      <c r="G39" s="17" t="n">
        <v>154.103464</v>
      </c>
      <c r="H39" s="17" t="n">
        <v>67.376777</v>
      </c>
      <c r="I39" s="18">
        <f>IF(F39=0,"",G39/F39)</f>
        <v/>
      </c>
      <c r="J39" s="19" t="n">
        <v>0.6112796499785961</v>
      </c>
      <c r="K39" s="19" t="n">
        <v>0.09470000000000001</v>
      </c>
      <c r="L39" s="18">
        <f>IF(G39=0,"",H39/G39)</f>
        <v/>
      </c>
      <c r="M39" s="17" t="n">
        <v>0.359</v>
      </c>
      <c r="N39" s="18">
        <f>IF(E39=0,"",2*M39/E39)</f>
        <v/>
      </c>
      <c r="O39" s="17" t="n">
        <v>0</v>
      </c>
      <c r="P39" s="19" t="n">
        <v>-0.01635379802268788</v>
      </c>
      <c r="Q39" s="19" t="n">
        <v>-0.06326183146504261</v>
      </c>
      <c r="R39" s="18">
        <f>IF(OR(P39="",Q39=""),"",P39-Q39)</f>
        <v/>
      </c>
      <c r="S39" s="20" t="n"/>
      <c r="T39" s="20" t="n"/>
      <c r="U39" s="18" t="n"/>
      <c r="V39" s="20" t="n"/>
      <c r="W39" s="20" t="n"/>
      <c r="X39" s="18" t="n"/>
      <c r="Y39" s="10" t="inlineStr">
        <is>
          <t>No HMDA mortgage reporting</t>
        </is>
      </c>
      <c r="Z39" s="20">
        <f>ROUND(100*(Scoring!$B$11*(1-IFERROR(PERCENTRANK($I$2:$I$67,I39),0.5))+Scoring!$B$12*IFERROR(PERCENTRANK($J$2:$J$67,J39),0.5)+Scoring!$B$13*IFERROR(PERCENTRANK($K$2:$K$67,K39),0.5)+Scoring!$B$14*IFERROR(PERCENTRANK($R$2:$R$67,R39),0.5)+Scoring!$B$15*(1-IFERROR(PERCENTRANK($N$2:$N$67,N39),0.5))+Scoring!$B$16*(1-IFERROR(PERCENTRANK($L$2:$L$67,L39),0.5))),0)</f>
        <v/>
      </c>
      <c r="AA39" s="10">
        <f>IF(AND(Z39&gt;=Scoring!$B$18,E39&gt;=Scoring!$B$20,Y39&lt;&gt;"Already takes broker loans"),"Tier 1",IF(Z39&gt;=Scoring!$B$19,"Tier 2","Tier 3"))</f>
        <v/>
      </c>
      <c r="AB39" s="21" t="n"/>
      <c r="AC39" s="21" t="n"/>
    </row>
    <row r="40">
      <c r="A40" s="10" t="inlineStr">
        <is>
          <t>cu:97101</t>
        </is>
      </c>
      <c r="B40" s="10" t="inlineStr">
        <is>
          <t>Glendale Area Schools CU</t>
        </is>
      </c>
      <c r="C40" s="10" t="inlineStr">
        <is>
          <t>Glendale</t>
        </is>
      </c>
      <c r="D40" s="10" t="inlineStr">
        <is>
          <t>Los Angeles</t>
        </is>
      </c>
      <c r="E40" s="17" t="n">
        <v>422.090233</v>
      </c>
      <c r="F40" s="17" t="n">
        <v>364.433032</v>
      </c>
      <c r="G40" s="17" t="n">
        <v>127.578171</v>
      </c>
      <c r="H40" s="17" t="n">
        <v>30.377588</v>
      </c>
      <c r="I40" s="18">
        <f>IF(F40=0,"",G40/F40)</f>
        <v/>
      </c>
      <c r="J40" s="19" t="n">
        <v>0.6940152509996601</v>
      </c>
      <c r="K40" s="19" t="n">
        <v>0.1309</v>
      </c>
      <c r="L40" s="18">
        <f>IF(G40=0,"",H40/G40)</f>
        <v/>
      </c>
      <c r="M40" s="17" t="n">
        <v>2.526</v>
      </c>
      <c r="N40" s="18">
        <f>IF(E40=0,"",2*M40/E40)</f>
        <v/>
      </c>
      <c r="O40" s="17" t="n">
        <v>0</v>
      </c>
      <c r="P40" s="19" t="n">
        <v>-0.01766625066554561</v>
      </c>
      <c r="Q40" s="19" t="n">
        <v>-0.05908201506987532</v>
      </c>
      <c r="R40" s="18">
        <f>IF(OR(P40="",Q40=""),"",P40-Q40)</f>
        <v/>
      </c>
      <c r="S40" s="20" t="n"/>
      <c r="T40" s="20" t="n"/>
      <c r="U40" s="18" t="n"/>
      <c r="V40" s="20" t="n"/>
      <c r="W40" s="20" t="n"/>
      <c r="X40" s="18" t="n"/>
      <c r="Y40" s="10" t="inlineStr">
        <is>
          <t>No HMDA mortgage reporting</t>
        </is>
      </c>
      <c r="Z40" s="20">
        <f>ROUND(100*(Scoring!$B$11*(1-IFERROR(PERCENTRANK($I$2:$I$67,I40),0.5))+Scoring!$B$12*IFERROR(PERCENTRANK($J$2:$J$67,J40),0.5)+Scoring!$B$13*IFERROR(PERCENTRANK($K$2:$K$67,K40),0.5)+Scoring!$B$14*IFERROR(PERCENTRANK($R$2:$R$67,R40),0.5)+Scoring!$B$15*(1-IFERROR(PERCENTRANK($N$2:$N$67,N40),0.5))+Scoring!$B$16*(1-IFERROR(PERCENTRANK($L$2:$L$67,L40),0.5))),0)</f>
        <v/>
      </c>
      <c r="AA40" s="10">
        <f>IF(AND(Z40&gt;=Scoring!$B$18,E40&gt;=Scoring!$B$20,Y40&lt;&gt;"Already takes broker loans"),"Tier 1",IF(Z40&gt;=Scoring!$B$19,"Tier 2","Tier 3"))</f>
        <v/>
      </c>
      <c r="AB40" s="21" t="n"/>
      <c r="AC40" s="21" t="n"/>
    </row>
    <row r="41">
      <c r="A41" s="10" t="inlineStr">
        <is>
          <t>cu:66847</t>
        </is>
      </c>
      <c r="B41" s="10" t="inlineStr">
        <is>
          <t>Eagle Community CU</t>
        </is>
      </c>
      <c r="C41" s="10" t="inlineStr">
        <is>
          <t>Lake Forest</t>
        </is>
      </c>
      <c r="D41" s="10" t="inlineStr">
        <is>
          <t>Orange</t>
        </is>
      </c>
      <c r="E41" s="17" t="n">
        <v>409.216214</v>
      </c>
      <c r="F41" s="17" t="n">
        <v>362.672594</v>
      </c>
      <c r="G41" s="17" t="n">
        <v>337.153893</v>
      </c>
      <c r="H41" s="17" t="n">
        <v>3.315754</v>
      </c>
      <c r="I41" s="18">
        <f>IF(F41=0,"",G41/F41)</f>
        <v/>
      </c>
      <c r="J41" s="19" t="n">
        <v>0.1234900384470103</v>
      </c>
      <c r="K41" s="19" t="n">
        <v>0.09909999999999999</v>
      </c>
      <c r="L41" s="18">
        <f>IF(G41=0,"",H41/G41)</f>
        <v/>
      </c>
      <c r="M41" s="17" t="n">
        <v>0</v>
      </c>
      <c r="N41" s="18">
        <f>IF(E41=0,"",2*M41/E41)</f>
        <v/>
      </c>
      <c r="O41" s="17" t="n">
        <v>0</v>
      </c>
      <c r="P41" s="19" t="n">
        <v>0.1610401011169154</v>
      </c>
      <c r="Q41" s="19" t="n">
        <v>0.1597077956721717</v>
      </c>
      <c r="R41" s="18">
        <f>IF(OR(P41="",Q41=""),"",P41-Q41)</f>
        <v/>
      </c>
      <c r="S41" s="17" t="n">
        <v>480</v>
      </c>
      <c r="T41" s="17" t="n">
        <v>76.51000000000001</v>
      </c>
      <c r="U41" s="19" t="n">
        <v>1</v>
      </c>
      <c r="V41" s="17" t="n">
        <v>0</v>
      </c>
      <c r="W41" s="17" t="n">
        <v>0</v>
      </c>
      <c r="X41" s="19" t="n">
        <v>0</v>
      </c>
      <c r="Y41" s="10" t="inlineStr">
        <is>
          <t>Retail only</t>
        </is>
      </c>
      <c r="Z41" s="20">
        <f>ROUND(100*(Scoring!$B$11*(1-IFERROR(PERCENTRANK($I$2:$I$67,I41),0.5))+Scoring!$B$12*IFERROR(PERCENTRANK($J$2:$J$67,J41),0.5)+Scoring!$B$13*IFERROR(PERCENTRANK($K$2:$K$67,K41),0.5)+Scoring!$B$14*IFERROR(PERCENTRANK($R$2:$R$67,R41),0.5)+Scoring!$B$15*(1-IFERROR(PERCENTRANK($N$2:$N$67,N41),0.5))+Scoring!$B$16*(1-IFERROR(PERCENTRANK($L$2:$L$67,L41),0.5))),0)</f>
        <v/>
      </c>
      <c r="AA41" s="10">
        <f>IF(AND(Z41&gt;=Scoring!$B$18,E41&gt;=Scoring!$B$20,Y41&lt;&gt;"Already takes broker loans"),"Tier 1",IF(Z41&gt;=Scoring!$B$19,"Tier 2","Tier 3"))</f>
        <v/>
      </c>
      <c r="AB41" s="21" t="n"/>
      <c r="AC41" s="21" t="n"/>
    </row>
    <row r="42">
      <c r="A42" s="10" t="inlineStr">
        <is>
          <t>cu:23004</t>
        </is>
      </c>
      <c r="B42" s="10" t="inlineStr">
        <is>
          <t>POPA CU</t>
        </is>
      </c>
      <c r="C42" s="10" t="inlineStr">
        <is>
          <t>Cerritos</t>
        </is>
      </c>
      <c r="D42" s="10" t="inlineStr">
        <is>
          <t>Los Angeles</t>
        </is>
      </c>
      <c r="E42" s="17" t="n">
        <v>404.544635</v>
      </c>
      <c r="F42" s="17" t="n">
        <v>358.238783</v>
      </c>
      <c r="G42" s="17" t="n">
        <v>246.357176</v>
      </c>
      <c r="H42" s="17" t="n">
        <v>55.514287</v>
      </c>
      <c r="I42" s="18">
        <f>IF(F42=0,"",G42/F42)</f>
        <v/>
      </c>
      <c r="J42" s="19" t="n">
        <v>0.3573401708812675</v>
      </c>
      <c r="K42" s="19" t="n">
        <v>0.1184</v>
      </c>
      <c r="L42" s="18">
        <f>IF(G42=0,"",H42/G42)</f>
        <v/>
      </c>
      <c r="M42" s="17" t="n">
        <v>7.023082</v>
      </c>
      <c r="N42" s="18">
        <f>IF(E42=0,"",2*M42/E42)</f>
        <v/>
      </c>
      <c r="O42" s="17" t="n">
        <v>0</v>
      </c>
      <c r="P42" s="19" t="n">
        <v>0.02239814413786267</v>
      </c>
      <c r="Q42" s="19" t="n">
        <v>-0.005436199645961759</v>
      </c>
      <c r="R42" s="18">
        <f>IF(OR(P42="",Q42=""),"",P42-Q42)</f>
        <v/>
      </c>
      <c r="S42" s="17" t="n">
        <v>80</v>
      </c>
      <c r="T42" s="17" t="n">
        <v>12.14</v>
      </c>
      <c r="U42" s="19" t="n">
        <v>1</v>
      </c>
      <c r="V42" s="17" t="n">
        <v>0</v>
      </c>
      <c r="W42" s="17" t="n">
        <v>0</v>
      </c>
      <c r="X42" s="19" t="n">
        <v>0</v>
      </c>
      <c r="Y42" s="10" t="inlineStr">
        <is>
          <t>Retail only</t>
        </is>
      </c>
      <c r="Z42" s="20">
        <f>ROUND(100*(Scoring!$B$11*(1-IFERROR(PERCENTRANK($I$2:$I$67,I42),0.5))+Scoring!$B$12*IFERROR(PERCENTRANK($J$2:$J$67,J42),0.5)+Scoring!$B$13*IFERROR(PERCENTRANK($K$2:$K$67,K42),0.5)+Scoring!$B$14*IFERROR(PERCENTRANK($R$2:$R$67,R42),0.5)+Scoring!$B$15*(1-IFERROR(PERCENTRANK($N$2:$N$67,N42),0.5))+Scoring!$B$16*(1-IFERROR(PERCENTRANK($L$2:$L$67,L42),0.5))),0)</f>
        <v/>
      </c>
      <c r="AA42" s="10">
        <f>IF(AND(Z42&gt;=Scoring!$B$18,E42&gt;=Scoring!$B$20,Y42&lt;&gt;"Already takes broker loans"),"Tier 1",IF(Z42&gt;=Scoring!$B$19,"Tier 2","Tier 3"))</f>
        <v/>
      </c>
      <c r="AB42" s="21" t="n"/>
      <c r="AC42" s="21" t="n"/>
    </row>
    <row r="43">
      <c r="A43" s="10" t="inlineStr">
        <is>
          <t>cu:594</t>
        </is>
      </c>
      <c r="B43" s="10" t="inlineStr">
        <is>
          <t>Pasadena CU</t>
        </is>
      </c>
      <c r="C43" s="10" t="inlineStr">
        <is>
          <t>Monrovia</t>
        </is>
      </c>
      <c r="D43" s="10" t="inlineStr">
        <is>
          <t>Los Angeles</t>
        </is>
      </c>
      <c r="E43" s="17" t="n">
        <v>374.966145</v>
      </c>
      <c r="F43" s="17" t="n">
        <v>322.895179</v>
      </c>
      <c r="G43" s="17" t="n">
        <v>223.56059</v>
      </c>
      <c r="H43" s="17" t="n">
        <v>99.49217400000001</v>
      </c>
      <c r="I43" s="18">
        <f>IF(F43=0,"",G43/F43)</f>
        <v/>
      </c>
      <c r="J43" s="19" t="n">
        <v>0.2854996042376039</v>
      </c>
      <c r="K43" s="19" t="n">
        <v>0.111</v>
      </c>
      <c r="L43" s="18">
        <f>IF(G43=0,"",H43/G43)</f>
        <v/>
      </c>
      <c r="M43" s="17" t="n">
        <v>10.703</v>
      </c>
      <c r="N43" s="18">
        <f>IF(E43=0,"",2*M43/E43)</f>
        <v/>
      </c>
      <c r="O43" s="17" t="n">
        <v>0</v>
      </c>
      <c r="P43" s="19" t="n">
        <v>-0.020649873872288</v>
      </c>
      <c r="Q43" s="19" t="n">
        <v>0.1147036002422963</v>
      </c>
      <c r="R43" s="18">
        <f>IF(OR(P43="",Q43=""),"",P43-Q43)</f>
        <v/>
      </c>
      <c r="S43" s="17" t="n">
        <v>75</v>
      </c>
      <c r="T43" s="17" t="n">
        <v>14.795</v>
      </c>
      <c r="U43" s="19" t="n">
        <v>1</v>
      </c>
      <c r="V43" s="17" t="n">
        <v>0</v>
      </c>
      <c r="W43" s="17" t="n">
        <v>0</v>
      </c>
      <c r="X43" s="19" t="n">
        <v>0.05333333333333334</v>
      </c>
      <c r="Y43" s="10" t="inlineStr">
        <is>
          <t>Mostly retail, a few broker loans</t>
        </is>
      </c>
      <c r="Z43" s="20">
        <f>ROUND(100*(Scoring!$B$11*(1-IFERROR(PERCENTRANK($I$2:$I$67,I43),0.5))+Scoring!$B$12*IFERROR(PERCENTRANK($J$2:$J$67,J43),0.5)+Scoring!$B$13*IFERROR(PERCENTRANK($K$2:$K$67,K43),0.5)+Scoring!$B$14*IFERROR(PERCENTRANK($R$2:$R$67,R43),0.5)+Scoring!$B$15*(1-IFERROR(PERCENTRANK($N$2:$N$67,N43),0.5))+Scoring!$B$16*(1-IFERROR(PERCENTRANK($L$2:$L$67,L43),0.5))),0)</f>
        <v/>
      </c>
      <c r="AA43" s="10">
        <f>IF(AND(Z43&gt;=Scoring!$B$18,E43&gt;=Scoring!$B$20,Y43&lt;&gt;"Already takes broker loans"),"Tier 1",IF(Z43&gt;=Scoring!$B$19,"Tier 2","Tier 3"))</f>
        <v/>
      </c>
      <c r="AB43" s="21" t="n"/>
      <c r="AC43" s="21" t="n"/>
    </row>
    <row r="44">
      <c r="A44" s="10" t="inlineStr">
        <is>
          <t>cu:68483</t>
        </is>
      </c>
      <c r="B44" s="10" t="inlineStr">
        <is>
          <t>Matadors Community CU</t>
        </is>
      </c>
      <c r="C44" s="10" t="inlineStr">
        <is>
          <t>Northridge</t>
        </is>
      </c>
      <c r="D44" s="10" t="inlineStr">
        <is>
          <t>Los Angeles</t>
        </is>
      </c>
      <c r="E44" s="17" t="n">
        <v>356.093644</v>
      </c>
      <c r="F44" s="17" t="n">
        <v>312.770161</v>
      </c>
      <c r="G44" s="17" t="n">
        <v>281.266079</v>
      </c>
      <c r="H44" s="17" t="n">
        <v>70.52468</v>
      </c>
      <c r="I44" s="18">
        <f>IF(F44=0,"",G44/F44)</f>
        <v/>
      </c>
      <c r="J44" s="19" t="n">
        <v>0.1211431339111461</v>
      </c>
      <c r="K44" s="19" t="n">
        <v>0.1167</v>
      </c>
      <c r="L44" s="18">
        <f>IF(G44=0,"",H44/G44)</f>
        <v/>
      </c>
      <c r="M44" s="17" t="n">
        <v>4.612</v>
      </c>
      <c r="N44" s="18">
        <f>IF(E44=0,"",2*M44/E44)</f>
        <v/>
      </c>
      <c r="O44" s="17" t="n">
        <v>0</v>
      </c>
      <c r="P44" s="19" t="n">
        <v>-0.03524133547256281</v>
      </c>
      <c r="Q44" s="19" t="n">
        <v>0.006093498247878859</v>
      </c>
      <c r="R44" s="18">
        <f>IF(OR(P44="",Q44=""),"",P44-Q44)</f>
        <v/>
      </c>
      <c r="S44" s="20" t="n"/>
      <c r="T44" s="20" t="n"/>
      <c r="U44" s="18" t="n"/>
      <c r="V44" s="20" t="n"/>
      <c r="W44" s="20" t="n"/>
      <c r="X44" s="18" t="n"/>
      <c r="Y44" s="10" t="inlineStr">
        <is>
          <t>No HMDA mortgage reporting</t>
        </is>
      </c>
      <c r="Z44" s="20">
        <f>ROUND(100*(Scoring!$B$11*(1-IFERROR(PERCENTRANK($I$2:$I$67,I44),0.5))+Scoring!$B$12*IFERROR(PERCENTRANK($J$2:$J$67,J44),0.5)+Scoring!$B$13*IFERROR(PERCENTRANK($K$2:$K$67,K44),0.5)+Scoring!$B$14*IFERROR(PERCENTRANK($R$2:$R$67,R44),0.5)+Scoring!$B$15*(1-IFERROR(PERCENTRANK($N$2:$N$67,N44),0.5))+Scoring!$B$16*(1-IFERROR(PERCENTRANK($L$2:$L$67,L44),0.5))),0)</f>
        <v/>
      </c>
      <c r="AA44" s="10">
        <f>IF(AND(Z44&gt;=Scoring!$B$18,E44&gt;=Scoring!$B$20,Y44&lt;&gt;"Already takes broker loans"),"Tier 1",IF(Z44&gt;=Scoring!$B$19,"Tier 2","Tier 3"))</f>
        <v/>
      </c>
      <c r="AB44" s="21" t="n"/>
      <c r="AC44" s="21" t="n"/>
    </row>
    <row r="45">
      <c r="A45" s="10" t="inlineStr">
        <is>
          <t>cu:15317</t>
        </is>
      </c>
      <c r="B45" s="10" t="inlineStr">
        <is>
          <t>SAG-AFTRA CU</t>
        </is>
      </c>
      <c r="C45" s="10" t="inlineStr">
        <is>
          <t>Burbank</t>
        </is>
      </c>
      <c r="D45" s="10" t="inlineStr">
        <is>
          <t>Los Angeles</t>
        </is>
      </c>
      <c r="E45" s="17" t="n">
        <v>335.614886</v>
      </c>
      <c r="F45" s="17" t="n">
        <v>287.066955</v>
      </c>
      <c r="G45" s="17" t="n">
        <v>163.507838</v>
      </c>
      <c r="H45" s="17" t="n">
        <v>71.545874</v>
      </c>
      <c r="I45" s="18">
        <f>IF(F45=0,"",G45/F45)</f>
        <v/>
      </c>
      <c r="J45" s="19" t="n">
        <v>0.4531436874346509</v>
      </c>
      <c r="K45" s="19" t="n">
        <v>0.1313</v>
      </c>
      <c r="L45" s="18">
        <f>IF(G45=0,"",H45/G45)</f>
        <v/>
      </c>
      <c r="M45" s="17" t="n">
        <v>10.450394</v>
      </c>
      <c r="N45" s="18">
        <f>IF(E45=0,"",2*M45/E45)</f>
        <v/>
      </c>
      <c r="O45" s="17" t="n">
        <v>0</v>
      </c>
      <c r="P45" s="19" t="n">
        <v>-0.06009763825147141</v>
      </c>
      <c r="Q45" s="19" t="n">
        <v>0.006338570474420102</v>
      </c>
      <c r="R45" s="18">
        <f>IF(OR(P45="",Q45=""),"",P45-Q45)</f>
        <v/>
      </c>
      <c r="S45" s="20" t="n"/>
      <c r="T45" s="20" t="n"/>
      <c r="U45" s="18" t="n"/>
      <c r="V45" s="20" t="n"/>
      <c r="W45" s="20" t="n"/>
      <c r="X45" s="18" t="n"/>
      <c r="Y45" s="10" t="inlineStr">
        <is>
          <t>No HMDA mortgage reporting</t>
        </is>
      </c>
      <c r="Z45" s="20">
        <f>ROUND(100*(Scoring!$B$11*(1-IFERROR(PERCENTRANK($I$2:$I$67,I45),0.5))+Scoring!$B$12*IFERROR(PERCENTRANK($J$2:$J$67,J45),0.5)+Scoring!$B$13*IFERROR(PERCENTRANK($K$2:$K$67,K45),0.5)+Scoring!$B$14*IFERROR(PERCENTRANK($R$2:$R$67,R45),0.5)+Scoring!$B$15*(1-IFERROR(PERCENTRANK($N$2:$N$67,N45),0.5))+Scoring!$B$16*(1-IFERROR(PERCENTRANK($L$2:$L$67,L45),0.5))),0)</f>
        <v/>
      </c>
      <c r="AA45" s="10">
        <f>IF(AND(Z45&gt;=Scoring!$B$18,E45&gt;=Scoring!$B$20,Y45&lt;&gt;"Already takes broker loans"),"Tier 1",IF(Z45&gt;=Scoring!$B$19,"Tier 2","Tier 3"))</f>
        <v/>
      </c>
      <c r="AB45" s="21" t="n"/>
      <c r="AC45" s="21" t="n"/>
    </row>
    <row r="46">
      <c r="A46" s="10" t="inlineStr">
        <is>
          <t>cu:11870</t>
        </is>
      </c>
      <c r="B46" s="10" t="inlineStr">
        <is>
          <t>Downey CU</t>
        </is>
      </c>
      <c r="C46" s="10" t="inlineStr">
        <is>
          <t>Downey</t>
        </is>
      </c>
      <c r="D46" s="10" t="inlineStr">
        <is>
          <t>Los Angeles</t>
        </is>
      </c>
      <c r="E46" s="17" t="n">
        <v>327.912647</v>
      </c>
      <c r="F46" s="17" t="n">
        <v>267.94149</v>
      </c>
      <c r="G46" s="17" t="n">
        <v>173.966288</v>
      </c>
      <c r="H46" s="17" t="n">
        <v>38.912538</v>
      </c>
      <c r="I46" s="18">
        <f>IF(F46=0,"",G46/F46)</f>
        <v/>
      </c>
      <c r="J46" s="19" t="n">
        <v>0.3929047817420717</v>
      </c>
      <c r="K46" s="19" t="n">
        <v>0.08799999999999999</v>
      </c>
      <c r="L46" s="18">
        <f>IF(G46=0,"",H46/G46)</f>
        <v/>
      </c>
      <c r="M46" s="17" t="n">
        <v>5.041597</v>
      </c>
      <c r="N46" s="18">
        <f>IF(E46=0,"",2*M46/E46)</f>
        <v/>
      </c>
      <c r="O46" s="17" t="n">
        <v>0</v>
      </c>
      <c r="P46" s="19" t="n">
        <v>0.02903466178406511</v>
      </c>
      <c r="Q46" s="19" t="n">
        <v>-0.06090248327901648</v>
      </c>
      <c r="R46" s="18">
        <f>IF(OR(P46="",Q46=""),"",P46-Q46)</f>
        <v/>
      </c>
      <c r="S46" s="17" t="n">
        <v>10</v>
      </c>
      <c r="T46" s="17" t="n">
        <v>0.95</v>
      </c>
      <c r="U46" s="19" t="n">
        <v>1</v>
      </c>
      <c r="V46" s="17" t="n">
        <v>0</v>
      </c>
      <c r="W46" s="17" t="n">
        <v>2</v>
      </c>
      <c r="X46" s="19" t="n">
        <v>0</v>
      </c>
      <c r="Y46" s="10" t="inlineStr">
        <is>
          <t>Retail only</t>
        </is>
      </c>
      <c r="Z46" s="20">
        <f>ROUND(100*(Scoring!$B$11*(1-IFERROR(PERCENTRANK($I$2:$I$67,I46),0.5))+Scoring!$B$12*IFERROR(PERCENTRANK($J$2:$J$67,J46),0.5)+Scoring!$B$13*IFERROR(PERCENTRANK($K$2:$K$67,K46),0.5)+Scoring!$B$14*IFERROR(PERCENTRANK($R$2:$R$67,R46),0.5)+Scoring!$B$15*(1-IFERROR(PERCENTRANK($N$2:$N$67,N46),0.5))+Scoring!$B$16*(1-IFERROR(PERCENTRANK($L$2:$L$67,L46),0.5))),0)</f>
        <v/>
      </c>
      <c r="AA46" s="10">
        <f>IF(AND(Z46&gt;=Scoring!$B$18,E46&gt;=Scoring!$B$20,Y46&lt;&gt;"Already takes broker loans"),"Tier 1",IF(Z46&gt;=Scoring!$B$19,"Tier 2","Tier 3"))</f>
        <v/>
      </c>
      <c r="AB46" s="21" t="n"/>
      <c r="AC46" s="21" t="n"/>
    </row>
    <row r="47">
      <c r="A47" s="10" t="inlineStr">
        <is>
          <t>cu:3945</t>
        </is>
      </c>
      <c r="B47" s="10" t="inlineStr">
        <is>
          <t>UMe CU</t>
        </is>
      </c>
      <c r="C47" s="10" t="inlineStr">
        <is>
          <t>Burbank</t>
        </is>
      </c>
      <c r="D47" s="10" t="inlineStr">
        <is>
          <t>Los Angeles</t>
        </is>
      </c>
      <c r="E47" s="17" t="n">
        <v>327.857108</v>
      </c>
      <c r="F47" s="17" t="n">
        <v>296.657113</v>
      </c>
      <c r="G47" s="17" t="n">
        <v>168.310563</v>
      </c>
      <c r="H47" s="17" t="n">
        <v>87.919045</v>
      </c>
      <c r="I47" s="18">
        <f>IF(F47=0,"",G47/F47)</f>
        <v/>
      </c>
      <c r="J47" s="19" t="n">
        <v>0.45261937404755</v>
      </c>
      <c r="K47" s="19" t="n">
        <v>0.09859999999999999</v>
      </c>
      <c r="L47" s="18">
        <f>IF(G47=0,"",H47/G47)</f>
        <v/>
      </c>
      <c r="M47" s="17" t="n">
        <v>9.381</v>
      </c>
      <c r="N47" s="18">
        <f>IF(E47=0,"",2*M47/E47)</f>
        <v/>
      </c>
      <c r="O47" s="17" t="n">
        <v>0</v>
      </c>
      <c r="P47" s="19" t="n">
        <v>-0.03411038540474431</v>
      </c>
      <c r="Q47" s="19" t="n">
        <v>0.04147037502225892</v>
      </c>
      <c r="R47" s="18">
        <f>IF(OR(P47="",Q47=""),"",P47-Q47)</f>
        <v/>
      </c>
      <c r="S47" s="17" t="n">
        <v>15</v>
      </c>
      <c r="T47" s="17" t="n">
        <v>11.045</v>
      </c>
      <c r="U47" s="19" t="n">
        <v>1</v>
      </c>
      <c r="V47" s="17" t="n">
        <v>0</v>
      </c>
      <c r="W47" s="17" t="n">
        <v>0</v>
      </c>
      <c r="X47" s="19" t="n">
        <v>0</v>
      </c>
      <c r="Y47" s="10" t="inlineStr">
        <is>
          <t>Retail only</t>
        </is>
      </c>
      <c r="Z47" s="20">
        <f>ROUND(100*(Scoring!$B$11*(1-IFERROR(PERCENTRANK($I$2:$I$67,I47),0.5))+Scoring!$B$12*IFERROR(PERCENTRANK($J$2:$J$67,J47),0.5)+Scoring!$B$13*IFERROR(PERCENTRANK($K$2:$K$67,K47),0.5)+Scoring!$B$14*IFERROR(PERCENTRANK($R$2:$R$67,R47),0.5)+Scoring!$B$15*(1-IFERROR(PERCENTRANK($N$2:$N$67,N47),0.5))+Scoring!$B$16*(1-IFERROR(PERCENTRANK($L$2:$L$67,L47),0.5))),0)</f>
        <v/>
      </c>
      <c r="AA47" s="10">
        <f>IF(AND(Z47&gt;=Scoring!$B$18,E47&gt;=Scoring!$B$20,Y47&lt;&gt;"Already takes broker loans"),"Tier 1",IF(Z47&gt;=Scoring!$B$19,"Tier 2","Tier 3"))</f>
        <v/>
      </c>
      <c r="AB47" s="21" t="n"/>
      <c r="AC47" s="21" t="n"/>
    </row>
    <row r="48">
      <c r="A48" s="10" t="inlineStr">
        <is>
          <t>cu:1438</t>
        </is>
      </c>
      <c r="B48" s="10" t="inlineStr">
        <is>
          <t>Long Beach City Employees CU</t>
        </is>
      </c>
      <c r="C48" s="10" t="inlineStr">
        <is>
          <t>Signal Hill</t>
        </is>
      </c>
      <c r="D48" s="10" t="inlineStr">
        <is>
          <t>Los Angeles</t>
        </is>
      </c>
      <c r="E48" s="17" t="n">
        <v>270.625133</v>
      </c>
      <c r="F48" s="17" t="n">
        <v>233.977452</v>
      </c>
      <c r="G48" s="17" t="n">
        <v>121.83694</v>
      </c>
      <c r="H48" s="17" t="n">
        <v>81.92468599999999</v>
      </c>
      <c r="I48" s="18">
        <f>IF(F48=0,"",G48/F48)</f>
        <v/>
      </c>
      <c r="J48" s="19" t="n">
        <v>0.4531307666830782</v>
      </c>
      <c r="K48" s="19" t="n">
        <v>0.1385</v>
      </c>
      <c r="L48" s="18">
        <f>IF(G48=0,"",H48/G48)</f>
        <v/>
      </c>
      <c r="M48" s="17" t="n">
        <v>9.60469</v>
      </c>
      <c r="N48" s="18">
        <f>IF(E48=0,"",2*M48/E48)</f>
        <v/>
      </c>
      <c r="O48" s="17" t="n">
        <v>0</v>
      </c>
      <c r="P48" s="19" t="n">
        <v>-0.01432560093439139</v>
      </c>
      <c r="Q48" s="19" t="n">
        <v>0.02731966579365919</v>
      </c>
      <c r="R48" s="18">
        <f>IF(OR(P48="",Q48=""),"",P48-Q48)</f>
        <v/>
      </c>
      <c r="S48" s="17" t="n">
        <v>37</v>
      </c>
      <c r="T48" s="17" t="n">
        <v>9.074999999999999</v>
      </c>
      <c r="U48" s="19" t="n">
        <v>0</v>
      </c>
      <c r="V48" s="17" t="n">
        <v>0</v>
      </c>
      <c r="W48" s="17" t="n">
        <v>0</v>
      </c>
      <c r="X48" s="19" t="n">
        <v>1</v>
      </c>
      <c r="Y48" s="10" t="inlineStr">
        <is>
          <t>Already takes broker loans</t>
        </is>
      </c>
      <c r="Z48" s="20">
        <f>ROUND(100*(Scoring!$B$11*(1-IFERROR(PERCENTRANK($I$2:$I$67,I48),0.5))+Scoring!$B$12*IFERROR(PERCENTRANK($J$2:$J$67,J48),0.5)+Scoring!$B$13*IFERROR(PERCENTRANK($K$2:$K$67,K48),0.5)+Scoring!$B$14*IFERROR(PERCENTRANK($R$2:$R$67,R48),0.5)+Scoring!$B$15*(1-IFERROR(PERCENTRANK($N$2:$N$67,N48),0.5))+Scoring!$B$16*(1-IFERROR(PERCENTRANK($L$2:$L$67,L48),0.5))),0)</f>
        <v/>
      </c>
      <c r="AA48" s="10">
        <f>IF(AND(Z48&gt;=Scoring!$B$18,E48&gt;=Scoring!$B$20,Y48&lt;&gt;"Already takes broker loans"),"Tier 1",IF(Z48&gt;=Scoring!$B$19,"Tier 2","Tier 3"))</f>
        <v/>
      </c>
      <c r="AB48" s="21" t="n"/>
      <c r="AC48" s="21" t="n"/>
    </row>
    <row r="49">
      <c r="A49" s="10" t="inlineStr">
        <is>
          <t>cu:16030</t>
        </is>
      </c>
      <c r="B49" s="10" t="inlineStr">
        <is>
          <t>Chaffey CU</t>
        </is>
      </c>
      <c r="C49" s="10" t="inlineStr">
        <is>
          <t>Upland</t>
        </is>
      </c>
      <c r="D49" s="10" t="inlineStr">
        <is>
          <t>San Bernardino</t>
        </is>
      </c>
      <c r="E49" s="17" t="n">
        <v>230.381043</v>
      </c>
      <c r="F49" s="17" t="n">
        <v>202.668867</v>
      </c>
      <c r="G49" s="17" t="n">
        <v>118.655999</v>
      </c>
      <c r="H49" s="17" t="n">
        <v>36.145492</v>
      </c>
      <c r="I49" s="18">
        <f>IF(F49=0,"",G49/F49)</f>
        <v/>
      </c>
      <c r="J49" s="19" t="n">
        <v>0.4363238428432673</v>
      </c>
      <c r="K49" s="19" t="n">
        <v>0.0774</v>
      </c>
      <c r="L49" s="18">
        <f>IF(G49=0,"",H49/G49)</f>
        <v/>
      </c>
      <c r="M49" s="17" t="n">
        <v>0</v>
      </c>
      <c r="N49" s="18">
        <f>IF(E49=0,"",2*M49/E49)</f>
        <v/>
      </c>
      <c r="O49" s="17" t="n">
        <v>0</v>
      </c>
      <c r="P49" s="19" t="n">
        <v>0.005942314695487783</v>
      </c>
      <c r="Q49" s="19" t="n">
        <v>-0.02577288717777337</v>
      </c>
      <c r="R49" s="18">
        <f>IF(OR(P49="",Q49=""),"",P49-Q49)</f>
        <v/>
      </c>
      <c r="S49" s="20" t="n"/>
      <c r="T49" s="20" t="n"/>
      <c r="U49" s="18" t="n"/>
      <c r="V49" s="20" t="n"/>
      <c r="W49" s="20" t="n"/>
      <c r="X49" s="18" t="n"/>
      <c r="Y49" s="10" t="inlineStr">
        <is>
          <t>No HMDA mortgage reporting</t>
        </is>
      </c>
      <c r="Z49" s="20">
        <f>ROUND(100*(Scoring!$B$11*(1-IFERROR(PERCENTRANK($I$2:$I$67,I49),0.5))+Scoring!$B$12*IFERROR(PERCENTRANK($J$2:$J$67,J49),0.5)+Scoring!$B$13*IFERROR(PERCENTRANK($K$2:$K$67,K49),0.5)+Scoring!$B$14*IFERROR(PERCENTRANK($R$2:$R$67,R49),0.5)+Scoring!$B$15*(1-IFERROR(PERCENTRANK($N$2:$N$67,N49),0.5))+Scoring!$B$16*(1-IFERROR(PERCENTRANK($L$2:$L$67,L49),0.5))),0)</f>
        <v/>
      </c>
      <c r="AA49" s="10">
        <f>IF(AND(Z49&gt;=Scoring!$B$18,E49&gt;=Scoring!$B$20,Y49&lt;&gt;"Already takes broker loans"),"Tier 1",IF(Z49&gt;=Scoring!$B$19,"Tier 2","Tier 3"))</f>
        <v/>
      </c>
      <c r="AB49" s="21" t="n"/>
      <c r="AC49" s="21" t="n"/>
    </row>
    <row r="50">
      <c r="A50" s="10" t="inlineStr">
        <is>
          <t>cu:9556</t>
        </is>
      </c>
      <c r="B50" s="10" t="inlineStr">
        <is>
          <t>Clearpath CU</t>
        </is>
      </c>
      <c r="C50" s="10" t="inlineStr">
        <is>
          <t>Burbank</t>
        </is>
      </c>
      <c r="D50" s="10" t="inlineStr">
        <is>
          <t>Los Angeles</t>
        </is>
      </c>
      <c r="E50" s="17" t="n">
        <v>228.634201</v>
      </c>
      <c r="F50" s="17" t="n">
        <v>204.167935</v>
      </c>
      <c r="G50" s="17" t="n">
        <v>194.416975</v>
      </c>
      <c r="H50" s="17" t="n">
        <v>12.898533</v>
      </c>
      <c r="I50" s="18">
        <f>IF(F50=0,"",G50/F50)</f>
        <v/>
      </c>
      <c r="J50" s="19" t="n">
        <v>0.0970898094113225</v>
      </c>
      <c r="K50" s="19" t="n">
        <v>0.08459999999999999</v>
      </c>
      <c r="L50" s="18">
        <f>IF(G50=0,"",H50/G50)</f>
        <v/>
      </c>
      <c r="M50" s="17" t="n">
        <v>0.005938</v>
      </c>
      <c r="N50" s="18">
        <f>IF(E50=0,"",2*M50/E50)</f>
        <v/>
      </c>
      <c r="O50" s="17" t="n">
        <v>0</v>
      </c>
      <c r="P50" s="19" t="n">
        <v>0.03077629144911054</v>
      </c>
      <c r="Q50" s="19" t="n">
        <v>0.2484539209691841</v>
      </c>
      <c r="R50" s="18">
        <f>IF(OR(P50="",Q50=""),"",P50-Q50)</f>
        <v/>
      </c>
      <c r="S50" s="20" t="n"/>
      <c r="T50" s="20" t="n"/>
      <c r="U50" s="18" t="n"/>
      <c r="V50" s="20" t="n"/>
      <c r="W50" s="20" t="n"/>
      <c r="X50" s="18" t="n"/>
      <c r="Y50" s="10" t="inlineStr">
        <is>
          <t>No HMDA mortgage reporting</t>
        </is>
      </c>
      <c r="Z50" s="20">
        <f>ROUND(100*(Scoring!$B$11*(1-IFERROR(PERCENTRANK($I$2:$I$67,I50),0.5))+Scoring!$B$12*IFERROR(PERCENTRANK($J$2:$J$67,J50),0.5)+Scoring!$B$13*IFERROR(PERCENTRANK($K$2:$K$67,K50),0.5)+Scoring!$B$14*IFERROR(PERCENTRANK($R$2:$R$67,R50),0.5)+Scoring!$B$15*(1-IFERROR(PERCENTRANK($N$2:$N$67,N50),0.5))+Scoring!$B$16*(1-IFERROR(PERCENTRANK($L$2:$L$67,L50),0.5))),0)</f>
        <v/>
      </c>
      <c r="AA50" s="10">
        <f>IF(AND(Z50&gt;=Scoring!$B$18,E50&gt;=Scoring!$B$20,Y50&lt;&gt;"Already takes broker loans"),"Tier 1",IF(Z50&gt;=Scoring!$B$19,"Tier 2","Tier 3"))</f>
        <v/>
      </c>
      <c r="AB50" s="21" t="n"/>
      <c r="AC50" s="21" t="n"/>
    </row>
    <row r="51">
      <c r="A51" s="10" t="inlineStr">
        <is>
          <t>cu:64531</t>
        </is>
      </c>
      <c r="B51" s="10" t="inlineStr">
        <is>
          <t>Alta Vista CU</t>
        </is>
      </c>
      <c r="C51" s="10" t="inlineStr">
        <is>
          <t>Redlands</t>
        </is>
      </c>
      <c r="D51" s="10" t="inlineStr">
        <is>
          <t>San Bernardino</t>
        </is>
      </c>
      <c r="E51" s="17" t="n">
        <v>208.554158</v>
      </c>
      <c r="F51" s="17" t="n">
        <v>188.403185</v>
      </c>
      <c r="G51" s="17" t="n">
        <v>129.06131</v>
      </c>
      <c r="H51" s="17" t="n">
        <v>76.389747</v>
      </c>
      <c r="I51" s="18">
        <f>IF(F51=0,"",G51/F51)</f>
        <v/>
      </c>
      <c r="J51" s="19" t="n">
        <v>0.2967549081423733</v>
      </c>
      <c r="K51" s="19" t="n">
        <v>0.08890000000000001</v>
      </c>
      <c r="L51" s="18">
        <f>IF(G51=0,"",H51/G51)</f>
        <v/>
      </c>
      <c r="M51" s="17" t="n">
        <v>4.87485</v>
      </c>
      <c r="N51" s="18">
        <f>IF(E51=0,"",2*M51/E51)</f>
        <v/>
      </c>
      <c r="O51" s="17" t="n">
        <v>0</v>
      </c>
      <c r="P51" s="19" t="n">
        <v>-0.03467414895642196</v>
      </c>
      <c r="Q51" s="19" t="n">
        <v>-0.06703075278605886</v>
      </c>
      <c r="R51" s="18">
        <f>IF(OR(P51="",Q51=""),"",P51-Q51)</f>
        <v/>
      </c>
      <c r="S51" s="17" t="n">
        <v>24</v>
      </c>
      <c r="T51" s="17" t="n">
        <v>11.87</v>
      </c>
      <c r="U51" s="19" t="n">
        <v>0</v>
      </c>
      <c r="V51" s="17" t="n">
        <v>21</v>
      </c>
      <c r="W51" s="17" t="n">
        <v>3</v>
      </c>
      <c r="X51" s="19" t="n">
        <v>0</v>
      </c>
      <c r="Y51" s="10" t="inlineStr">
        <is>
          <t>Retail only</t>
        </is>
      </c>
      <c r="Z51" s="20">
        <f>ROUND(100*(Scoring!$B$11*(1-IFERROR(PERCENTRANK($I$2:$I$67,I51),0.5))+Scoring!$B$12*IFERROR(PERCENTRANK($J$2:$J$67,J51),0.5)+Scoring!$B$13*IFERROR(PERCENTRANK($K$2:$K$67,K51),0.5)+Scoring!$B$14*IFERROR(PERCENTRANK($R$2:$R$67,R51),0.5)+Scoring!$B$15*(1-IFERROR(PERCENTRANK($N$2:$N$67,N51),0.5))+Scoring!$B$16*(1-IFERROR(PERCENTRANK($L$2:$L$67,L51),0.5))),0)</f>
        <v/>
      </c>
      <c r="AA51" s="10">
        <f>IF(AND(Z51&gt;=Scoring!$B$18,E51&gt;=Scoring!$B$20,Y51&lt;&gt;"Already takes broker loans"),"Tier 1",IF(Z51&gt;=Scoring!$B$19,"Tier 2","Tier 3"))</f>
        <v/>
      </c>
      <c r="AB51" s="21" t="n"/>
      <c r="AC51" s="21" t="n"/>
    </row>
    <row r="52">
      <c r="A52" s="10" t="inlineStr">
        <is>
          <t>cu:60024</t>
        </is>
      </c>
      <c r="B52" s="10" t="inlineStr">
        <is>
          <t>Priority One CU</t>
        </is>
      </c>
      <c r="C52" s="10" t="inlineStr">
        <is>
          <t>South Pasadena</t>
        </is>
      </c>
      <c r="D52" s="10" t="inlineStr">
        <is>
          <t>Los Angeles</t>
        </is>
      </c>
      <c r="E52" s="17" t="n">
        <v>205.885251</v>
      </c>
      <c r="F52" s="17" t="n">
        <v>178.59397</v>
      </c>
      <c r="G52" s="17" t="n">
        <v>95.97490500000001</v>
      </c>
      <c r="H52" s="17" t="n">
        <v>37.338533</v>
      </c>
      <c r="I52" s="18">
        <f>IF(F52=0,"",G52/F52)</f>
        <v/>
      </c>
      <c r="J52" s="19" t="n">
        <v>0.4836553979284315</v>
      </c>
      <c r="K52" s="19" t="n">
        <v>0.1395</v>
      </c>
      <c r="L52" s="18">
        <f>IF(G52=0,"",H52/G52)</f>
        <v/>
      </c>
      <c r="M52" s="17" t="n">
        <v>0.331</v>
      </c>
      <c r="N52" s="18">
        <f>IF(E52=0,"",2*M52/E52)</f>
        <v/>
      </c>
      <c r="O52" s="17" t="n">
        <v>0</v>
      </c>
      <c r="P52" s="19" t="n">
        <v>0.01529093416343663</v>
      </c>
      <c r="Q52" s="19" t="n">
        <v>-0.02174148697907841</v>
      </c>
      <c r="R52" s="18">
        <f>IF(OR(P52="",Q52=""),"",P52-Q52)</f>
        <v/>
      </c>
      <c r="S52" s="17" t="n">
        <v>19</v>
      </c>
      <c r="T52" s="17" t="n">
        <v>1.325</v>
      </c>
      <c r="U52" s="19" t="n">
        <v>1</v>
      </c>
      <c r="V52" s="17" t="n">
        <v>1</v>
      </c>
      <c r="W52" s="17" t="n">
        <v>0</v>
      </c>
      <c r="X52" s="19" t="n">
        <v>0</v>
      </c>
      <c r="Y52" s="10" t="inlineStr">
        <is>
          <t>Retail only</t>
        </is>
      </c>
      <c r="Z52" s="20">
        <f>ROUND(100*(Scoring!$B$11*(1-IFERROR(PERCENTRANK($I$2:$I$67,I52),0.5))+Scoring!$B$12*IFERROR(PERCENTRANK($J$2:$J$67,J52),0.5)+Scoring!$B$13*IFERROR(PERCENTRANK($K$2:$K$67,K52),0.5)+Scoring!$B$14*IFERROR(PERCENTRANK($R$2:$R$67,R52),0.5)+Scoring!$B$15*(1-IFERROR(PERCENTRANK($N$2:$N$67,N52),0.5))+Scoring!$B$16*(1-IFERROR(PERCENTRANK($L$2:$L$67,L52),0.5))),0)</f>
        <v/>
      </c>
      <c r="AA52" s="10">
        <f>IF(AND(Z52&gt;=Scoring!$B$18,E52&gt;=Scoring!$B$20,Y52&lt;&gt;"Already takes broker loans"),"Tier 1",IF(Z52&gt;=Scoring!$B$19,"Tier 2","Tier 3"))</f>
        <v/>
      </c>
      <c r="AB52" s="21" t="n"/>
      <c r="AC52" s="21" t="n"/>
    </row>
    <row r="53">
      <c r="A53" s="10" t="inlineStr">
        <is>
          <t>cu:67921</t>
        </is>
      </c>
      <c r="B53" s="10" t="inlineStr">
        <is>
          <t>Long Beach Firemen's CU</t>
        </is>
      </c>
      <c r="C53" s="10" t="inlineStr">
        <is>
          <t>Long Beach</t>
        </is>
      </c>
      <c r="D53" s="10" t="inlineStr">
        <is>
          <t>Los Angeles</t>
        </is>
      </c>
      <c r="E53" s="17" t="n">
        <v>201.478655</v>
      </c>
      <c r="F53" s="17" t="n">
        <v>142.049034</v>
      </c>
      <c r="G53" s="17" t="n">
        <v>134.373355</v>
      </c>
      <c r="H53" s="17" t="n">
        <v>110.174159</v>
      </c>
      <c r="I53" s="18">
        <f>IF(F53=0,"",G53/F53)</f>
        <v/>
      </c>
      <c r="J53" s="19" t="n">
        <v>0.3335913523941283</v>
      </c>
      <c r="K53" s="19" t="n">
        <v>0.2943</v>
      </c>
      <c r="L53" s="18">
        <f>IF(G53=0,"",H53/G53)</f>
        <v/>
      </c>
      <c r="M53" s="17" t="n">
        <v>1.539729</v>
      </c>
      <c r="N53" s="18">
        <f>IF(E53=0,"",2*M53/E53)</f>
        <v/>
      </c>
      <c r="O53" s="17" t="n">
        <v>0</v>
      </c>
      <c r="P53" s="19" t="n">
        <v>-0.02814351989708885</v>
      </c>
      <c r="Q53" s="19" t="n">
        <v>-0.05557852924292539</v>
      </c>
      <c r="R53" s="18">
        <f>IF(OR(P53="",Q53=""),"",P53-Q53)</f>
        <v/>
      </c>
      <c r="S53" s="20" t="n"/>
      <c r="T53" s="20" t="n"/>
      <c r="U53" s="18" t="n"/>
      <c r="V53" s="20" t="n"/>
      <c r="W53" s="20" t="n"/>
      <c r="X53" s="18" t="n"/>
      <c r="Y53" s="10" t="inlineStr">
        <is>
          <t>No HMDA mortgage reporting</t>
        </is>
      </c>
      <c r="Z53" s="20">
        <f>ROUND(100*(Scoring!$B$11*(1-IFERROR(PERCENTRANK($I$2:$I$67,I53),0.5))+Scoring!$B$12*IFERROR(PERCENTRANK($J$2:$J$67,J53),0.5)+Scoring!$B$13*IFERROR(PERCENTRANK($K$2:$K$67,K53),0.5)+Scoring!$B$14*IFERROR(PERCENTRANK($R$2:$R$67,R53),0.5)+Scoring!$B$15*(1-IFERROR(PERCENTRANK($N$2:$N$67,N53),0.5))+Scoring!$B$16*(1-IFERROR(PERCENTRANK($L$2:$L$67,L53),0.5))),0)</f>
        <v/>
      </c>
      <c r="AA53" s="10">
        <f>IF(AND(Z53&gt;=Scoring!$B$18,E53&gt;=Scoring!$B$20,Y53&lt;&gt;"Already takes broker loans"),"Tier 1",IF(Z53&gt;=Scoring!$B$19,"Tier 2","Tier 3"))</f>
        <v/>
      </c>
      <c r="AB53" s="21" t="n"/>
      <c r="AC53" s="21" t="n"/>
    </row>
    <row r="54">
      <c r="A54" s="10" t="inlineStr">
        <is>
          <t>cu:3526</t>
        </is>
      </c>
      <c r="B54" s="10" t="inlineStr">
        <is>
          <t>Schools CU</t>
        </is>
      </c>
      <c r="C54" s="10" t="inlineStr">
        <is>
          <t>Torrance</t>
        </is>
      </c>
      <c r="D54" s="10" t="inlineStr">
        <is>
          <t>Los Angeles</t>
        </is>
      </c>
      <c r="E54" s="17" t="n">
        <v>195.703776</v>
      </c>
      <c r="F54" s="17" t="n">
        <v>170.456713</v>
      </c>
      <c r="G54" s="17" t="n">
        <v>93.58880600000001</v>
      </c>
      <c r="H54" s="17" t="n">
        <v>29.657745</v>
      </c>
      <c r="I54" s="18">
        <f>IF(F54=0,"",G54/F54)</f>
        <v/>
      </c>
      <c r="J54" s="19" t="n">
        <v>0.4866352604254299</v>
      </c>
      <c r="K54" s="19" t="n">
        <v>0.1191</v>
      </c>
      <c r="L54" s="18">
        <f>IF(G54=0,"",H54/G54)</f>
        <v/>
      </c>
      <c r="M54" s="17" t="n">
        <v>1.5425</v>
      </c>
      <c r="N54" s="18">
        <f>IF(E54=0,"",2*M54/E54)</f>
        <v/>
      </c>
      <c r="O54" s="17" t="n">
        <v>0</v>
      </c>
      <c r="P54" s="19" t="n">
        <v>0.03728431733092541</v>
      </c>
      <c r="Q54" s="19" t="n">
        <v>0.07040856262745998</v>
      </c>
      <c r="R54" s="18">
        <f>IF(OR(P54="",Q54=""),"",P54-Q54)</f>
        <v/>
      </c>
      <c r="S54" s="20" t="n"/>
      <c r="T54" s="20" t="n"/>
      <c r="U54" s="18" t="n"/>
      <c r="V54" s="20" t="n"/>
      <c r="W54" s="20" t="n"/>
      <c r="X54" s="18" t="n"/>
      <c r="Y54" s="10" t="inlineStr">
        <is>
          <t>No HMDA mortgage reporting</t>
        </is>
      </c>
      <c r="Z54" s="20">
        <f>ROUND(100*(Scoring!$B$11*(1-IFERROR(PERCENTRANK($I$2:$I$67,I54),0.5))+Scoring!$B$12*IFERROR(PERCENTRANK($J$2:$J$67,J54),0.5)+Scoring!$B$13*IFERROR(PERCENTRANK($K$2:$K$67,K54),0.5)+Scoring!$B$14*IFERROR(PERCENTRANK($R$2:$R$67,R54),0.5)+Scoring!$B$15*(1-IFERROR(PERCENTRANK($N$2:$N$67,N54),0.5))+Scoring!$B$16*(1-IFERROR(PERCENTRANK($L$2:$L$67,L54),0.5))),0)</f>
        <v/>
      </c>
      <c r="AA54" s="10">
        <f>IF(AND(Z54&gt;=Scoring!$B$18,E54&gt;=Scoring!$B$20,Y54&lt;&gt;"Already takes broker loans"),"Tier 1",IF(Z54&gt;=Scoring!$B$19,"Tier 2","Tier 3"))</f>
        <v/>
      </c>
      <c r="AB54" s="21" t="n"/>
      <c r="AC54" s="21" t="n"/>
    </row>
    <row r="55">
      <c r="A55" s="10" t="inlineStr">
        <is>
          <t>cu:4633</t>
        </is>
      </c>
      <c r="B55" s="10" t="inlineStr">
        <is>
          <t>Camino CU</t>
        </is>
      </c>
      <c r="C55" s="10" t="inlineStr">
        <is>
          <t>Montebello</t>
        </is>
      </c>
      <c r="D55" s="10" t="inlineStr">
        <is>
          <t>Los Angeles</t>
        </is>
      </c>
      <c r="E55" s="17" t="n">
        <v>178.801111</v>
      </c>
      <c r="F55" s="17" t="n">
        <v>150.567045</v>
      </c>
      <c r="G55" s="17" t="n">
        <v>134.711204</v>
      </c>
      <c r="H55" s="17" t="n">
        <v>82.12455300000001</v>
      </c>
      <c r="I55" s="18">
        <f>IF(F55=0,"",G55/F55)</f>
        <v/>
      </c>
      <c r="J55" s="19" t="n">
        <v>0.1631537736921556</v>
      </c>
      <c r="K55" s="19" t="n">
        <v>0.1225</v>
      </c>
      <c r="L55" s="18">
        <f>IF(G55=0,"",H55/G55)</f>
        <v/>
      </c>
      <c r="M55" s="17" t="n">
        <v>6.611441</v>
      </c>
      <c r="N55" s="18">
        <f>IF(E55=0,"",2*M55/E55)</f>
        <v/>
      </c>
      <c r="O55" s="17" t="n">
        <v>0</v>
      </c>
      <c r="P55" s="19" t="n">
        <v>0.02277294123473683</v>
      </c>
      <c r="Q55" s="19" t="n">
        <v>0.0262276251562763</v>
      </c>
      <c r="R55" s="18">
        <f>IF(OR(P55="",Q55=""),"",P55-Q55)</f>
        <v/>
      </c>
      <c r="S55" s="20" t="n"/>
      <c r="T55" s="20" t="n"/>
      <c r="U55" s="18" t="n"/>
      <c r="V55" s="20" t="n"/>
      <c r="W55" s="20" t="n"/>
      <c r="X55" s="18" t="n"/>
      <c r="Y55" s="10" t="inlineStr">
        <is>
          <t>No HMDA mortgage reporting</t>
        </is>
      </c>
      <c r="Z55" s="20">
        <f>ROUND(100*(Scoring!$B$11*(1-IFERROR(PERCENTRANK($I$2:$I$67,I55),0.5))+Scoring!$B$12*IFERROR(PERCENTRANK($J$2:$J$67,J55),0.5)+Scoring!$B$13*IFERROR(PERCENTRANK($K$2:$K$67,K55),0.5)+Scoring!$B$14*IFERROR(PERCENTRANK($R$2:$R$67,R55),0.5)+Scoring!$B$15*(1-IFERROR(PERCENTRANK($N$2:$N$67,N55),0.5))+Scoring!$B$16*(1-IFERROR(PERCENTRANK($L$2:$L$67,L55),0.5))),0)</f>
        <v/>
      </c>
      <c r="AA55" s="10">
        <f>IF(AND(Z55&gt;=Scoring!$B$18,E55&gt;=Scoring!$B$20,Y55&lt;&gt;"Already takes broker loans"),"Tier 1",IF(Z55&gt;=Scoring!$B$19,"Tier 2","Tier 3"))</f>
        <v/>
      </c>
      <c r="AB55" s="21" t="n"/>
      <c r="AC55" s="21" t="n"/>
    </row>
    <row r="56">
      <c r="A56" s="10" t="inlineStr">
        <is>
          <t>cu:64834</t>
        </is>
      </c>
      <c r="B56" s="10" t="inlineStr">
        <is>
          <t>California Lithuanian CU</t>
        </is>
      </c>
      <c r="C56" s="10" t="inlineStr">
        <is>
          <t>Santa Monica</t>
        </is>
      </c>
      <c r="D56" s="10" t="inlineStr">
        <is>
          <t>Los Angeles</t>
        </is>
      </c>
      <c r="E56" s="17" t="n">
        <v>175.125246</v>
      </c>
      <c r="F56" s="17" t="n">
        <v>142.995233</v>
      </c>
      <c r="G56" s="17" t="n">
        <v>129.86937</v>
      </c>
      <c r="H56" s="17" t="n">
        <v>55.165036</v>
      </c>
      <c r="I56" s="18">
        <f>IF(F56=0,"",G56/F56)</f>
        <v/>
      </c>
      <c r="J56" s="19" t="n">
        <v>0.2512402923334081</v>
      </c>
      <c r="K56" s="19" t="n">
        <v>0.174</v>
      </c>
      <c r="L56" s="18">
        <f>IF(G56=0,"",H56/G56)</f>
        <v/>
      </c>
      <c r="M56" s="17" t="n">
        <v>5.021747</v>
      </c>
      <c r="N56" s="18">
        <f>IF(E56=0,"",2*M56/E56)</f>
        <v/>
      </c>
      <c r="O56" s="17" t="n">
        <v>0</v>
      </c>
      <c r="P56" s="19" t="n">
        <v>0.2372396688492908</v>
      </c>
      <c r="Q56" s="19" t="n">
        <v>0.2686913197500678</v>
      </c>
      <c r="R56" s="18">
        <f>IF(OR(P56="",Q56=""),"",P56-Q56)</f>
        <v/>
      </c>
      <c r="S56" s="20" t="n"/>
      <c r="T56" s="20" t="n"/>
      <c r="U56" s="18" t="n"/>
      <c r="V56" s="20" t="n"/>
      <c r="W56" s="20" t="n"/>
      <c r="X56" s="18" t="n"/>
      <c r="Y56" s="10" t="inlineStr">
        <is>
          <t>No HMDA mortgage reporting</t>
        </is>
      </c>
      <c r="Z56" s="20">
        <f>ROUND(100*(Scoring!$B$11*(1-IFERROR(PERCENTRANK($I$2:$I$67,I56),0.5))+Scoring!$B$12*IFERROR(PERCENTRANK($J$2:$J$67,J56),0.5)+Scoring!$B$13*IFERROR(PERCENTRANK($K$2:$K$67,K56),0.5)+Scoring!$B$14*IFERROR(PERCENTRANK($R$2:$R$67,R56),0.5)+Scoring!$B$15*(1-IFERROR(PERCENTRANK($N$2:$N$67,N56),0.5))+Scoring!$B$16*(1-IFERROR(PERCENTRANK($L$2:$L$67,L56),0.5))),0)</f>
        <v/>
      </c>
      <c r="AA56" s="10">
        <f>IF(AND(Z56&gt;=Scoring!$B$18,E56&gt;=Scoring!$B$20,Y56&lt;&gt;"Already takes broker loans"),"Tier 1",IF(Z56&gt;=Scoring!$B$19,"Tier 2","Tier 3"))</f>
        <v/>
      </c>
      <c r="AB56" s="21" t="n"/>
      <c r="AC56" s="21" t="n"/>
    </row>
    <row r="57">
      <c r="A57" s="10" t="inlineStr">
        <is>
          <t>cu:14542</t>
        </is>
      </c>
      <c r="B57" s="10" t="inlineStr">
        <is>
          <t>Vida CU</t>
        </is>
      </c>
      <c r="C57" s="10" t="inlineStr">
        <is>
          <t>Ontario</t>
        </is>
      </c>
      <c r="D57" s="10" t="inlineStr">
        <is>
          <t>San Bernardino</t>
        </is>
      </c>
      <c r="E57" s="17" t="n">
        <v>174.60935</v>
      </c>
      <c r="F57" s="17" t="n">
        <v>150.416875</v>
      </c>
      <c r="G57" s="17" t="n">
        <v>88.771637</v>
      </c>
      <c r="H57" s="17" t="n">
        <v>33.400853</v>
      </c>
      <c r="I57" s="18">
        <f>IF(F57=0,"",G57/F57)</f>
        <v/>
      </c>
      <c r="J57" s="19" t="n">
        <v>0.4553812897190214</v>
      </c>
      <c r="K57" s="19" t="n">
        <v>0.1375</v>
      </c>
      <c r="L57" s="18">
        <f>IF(G57=0,"",H57/G57)</f>
        <v/>
      </c>
      <c r="M57" s="17" t="n">
        <v>6.202191</v>
      </c>
      <c r="N57" s="18">
        <f>IF(E57=0,"",2*M57/E57)</f>
        <v/>
      </c>
      <c r="O57" s="17" t="n">
        <v>0</v>
      </c>
      <c r="P57" s="19" t="n">
        <v>0.02812839888525098</v>
      </c>
      <c r="Q57" s="19" t="n">
        <v>0.06210504332661393</v>
      </c>
      <c r="R57" s="18">
        <f>IF(OR(P57="",Q57=""),"",P57-Q57)</f>
        <v/>
      </c>
      <c r="S57" s="20" t="n"/>
      <c r="T57" s="20" t="n"/>
      <c r="U57" s="18" t="n"/>
      <c r="V57" s="20" t="n"/>
      <c r="W57" s="20" t="n"/>
      <c r="X57" s="18" t="n"/>
      <c r="Y57" s="10" t="inlineStr">
        <is>
          <t>No HMDA mortgage reporting</t>
        </is>
      </c>
      <c r="Z57" s="20">
        <f>ROUND(100*(Scoring!$B$11*(1-IFERROR(PERCENTRANK($I$2:$I$67,I57),0.5))+Scoring!$B$12*IFERROR(PERCENTRANK($J$2:$J$67,J57),0.5)+Scoring!$B$13*IFERROR(PERCENTRANK($K$2:$K$67,K57),0.5)+Scoring!$B$14*IFERROR(PERCENTRANK($R$2:$R$67,R57),0.5)+Scoring!$B$15*(1-IFERROR(PERCENTRANK($N$2:$N$67,N57),0.5))+Scoring!$B$16*(1-IFERROR(PERCENTRANK($L$2:$L$67,L57),0.5))),0)</f>
        <v/>
      </c>
      <c r="AA57" s="10">
        <f>IF(AND(Z57&gt;=Scoring!$B$18,E57&gt;=Scoring!$B$20,Y57&lt;&gt;"Already takes broker loans"),"Tier 1",IF(Z57&gt;=Scoring!$B$19,"Tier 2","Tier 3"))</f>
        <v/>
      </c>
      <c r="AB57" s="21" t="n"/>
      <c r="AC57" s="21" t="n"/>
    </row>
    <row r="58">
      <c r="A58" s="10" t="inlineStr">
        <is>
          <t>cu:62323</t>
        </is>
      </c>
      <c r="B58" s="10" t="inlineStr">
        <is>
          <t>E-central CU</t>
        </is>
      </c>
      <c r="C58" s="10" t="inlineStr">
        <is>
          <t>Pasadena</t>
        </is>
      </c>
      <c r="D58" s="10" t="inlineStr">
        <is>
          <t>Los Angeles</t>
        </is>
      </c>
      <c r="E58" s="17" t="n">
        <v>173.533869</v>
      </c>
      <c r="F58" s="17" t="n">
        <v>130.72664</v>
      </c>
      <c r="G58" s="17" t="n">
        <v>110.533215</v>
      </c>
      <c r="H58" s="17" t="n">
        <v>23.520065</v>
      </c>
      <c r="I58" s="18">
        <f>IF(F58=0,"",G58/F58)</f>
        <v/>
      </c>
      <c r="J58" s="19" t="n">
        <v>0.313682293339521</v>
      </c>
      <c r="K58" s="19" t="n">
        <v>0.2341</v>
      </c>
      <c r="L58" s="18">
        <f>IF(G58=0,"",H58/G58)</f>
        <v/>
      </c>
      <c r="M58" s="17" t="n">
        <v>0</v>
      </c>
      <c r="N58" s="18">
        <f>IF(E58=0,"",2*M58/E58)</f>
        <v/>
      </c>
      <c r="O58" s="17" t="n">
        <v>0</v>
      </c>
      <c r="P58" s="19" t="n">
        <v>-0.02271258480109384</v>
      </c>
      <c r="Q58" s="19" t="n">
        <v>-0.07080808116386894</v>
      </c>
      <c r="R58" s="18">
        <f>IF(OR(P58="",Q58=""),"",P58-Q58)</f>
        <v/>
      </c>
      <c r="S58" s="20" t="n"/>
      <c r="T58" s="20" t="n"/>
      <c r="U58" s="18" t="n"/>
      <c r="V58" s="20" t="n"/>
      <c r="W58" s="20" t="n"/>
      <c r="X58" s="18" t="n"/>
      <c r="Y58" s="10" t="inlineStr">
        <is>
          <t>No HMDA mortgage reporting</t>
        </is>
      </c>
      <c r="Z58" s="20">
        <f>ROUND(100*(Scoring!$B$11*(1-IFERROR(PERCENTRANK($I$2:$I$67,I58),0.5))+Scoring!$B$12*IFERROR(PERCENTRANK($J$2:$J$67,J58),0.5)+Scoring!$B$13*IFERROR(PERCENTRANK($K$2:$K$67,K58),0.5)+Scoring!$B$14*IFERROR(PERCENTRANK($R$2:$R$67,R58),0.5)+Scoring!$B$15*(1-IFERROR(PERCENTRANK($N$2:$N$67,N58),0.5))+Scoring!$B$16*(1-IFERROR(PERCENTRANK($L$2:$L$67,L58),0.5))),0)</f>
        <v/>
      </c>
      <c r="AA58" s="10">
        <f>IF(AND(Z58&gt;=Scoring!$B$18,E58&gt;=Scoring!$B$20,Y58&lt;&gt;"Already takes broker loans"),"Tier 1",IF(Z58&gt;=Scoring!$B$19,"Tier 2","Tier 3"))</f>
        <v/>
      </c>
      <c r="AB58" s="21" t="n"/>
      <c r="AC58" s="21" t="n"/>
    </row>
    <row r="59">
      <c r="A59" s="10" t="inlineStr">
        <is>
          <t>cu:12543</t>
        </is>
      </c>
      <c r="B59" s="10" t="inlineStr">
        <is>
          <t>Torrance Community CU</t>
        </is>
      </c>
      <c r="C59" s="10" t="inlineStr">
        <is>
          <t>Torrance</t>
        </is>
      </c>
      <c r="D59" s="10" t="inlineStr">
        <is>
          <t>Los Angeles</t>
        </is>
      </c>
      <c r="E59" s="17" t="n">
        <v>162.927927</v>
      </c>
      <c r="F59" s="17" t="n">
        <v>150.825254</v>
      </c>
      <c r="G59" s="17" t="n">
        <v>69.95003199999999</v>
      </c>
      <c r="H59" s="17" t="n">
        <v>8.272762</v>
      </c>
      <c r="I59" s="18">
        <f>IF(F59=0,"",G59/F59)</f>
        <v/>
      </c>
      <c r="J59" s="19" t="n">
        <v>0.5177569220530254</v>
      </c>
      <c r="K59" s="19" t="n">
        <v>0.1015</v>
      </c>
      <c r="L59" s="18">
        <f>IF(G59=0,"",H59/G59)</f>
        <v/>
      </c>
      <c r="M59" s="17" t="n">
        <v>0.4</v>
      </c>
      <c r="N59" s="18">
        <f>IF(E59=0,"",2*M59/E59)</f>
        <v/>
      </c>
      <c r="O59" s="17" t="n">
        <v>0</v>
      </c>
      <c r="P59" s="19" t="n">
        <v>0.03579164534509838</v>
      </c>
      <c r="Q59" s="19" t="n">
        <v>0.07555654413430868</v>
      </c>
      <c r="R59" s="18">
        <f>IF(OR(P59="",Q59=""),"",P59-Q59)</f>
        <v/>
      </c>
      <c r="S59" s="20" t="n"/>
      <c r="T59" s="20" t="n"/>
      <c r="U59" s="18" t="n"/>
      <c r="V59" s="20" t="n"/>
      <c r="W59" s="20" t="n"/>
      <c r="X59" s="18" t="n"/>
      <c r="Y59" s="10" t="inlineStr">
        <is>
          <t>No HMDA mortgage reporting</t>
        </is>
      </c>
      <c r="Z59" s="20">
        <f>ROUND(100*(Scoring!$B$11*(1-IFERROR(PERCENTRANK($I$2:$I$67,I59),0.5))+Scoring!$B$12*IFERROR(PERCENTRANK($J$2:$J$67,J59),0.5)+Scoring!$B$13*IFERROR(PERCENTRANK($K$2:$K$67,K59),0.5)+Scoring!$B$14*IFERROR(PERCENTRANK($R$2:$R$67,R59),0.5)+Scoring!$B$15*(1-IFERROR(PERCENTRANK($N$2:$N$67,N59),0.5))+Scoring!$B$16*(1-IFERROR(PERCENTRANK($L$2:$L$67,L59),0.5))),0)</f>
        <v/>
      </c>
      <c r="AA59" s="10">
        <f>IF(AND(Z59&gt;=Scoring!$B$18,E59&gt;=Scoring!$B$20,Y59&lt;&gt;"Already takes broker loans"),"Tier 1",IF(Z59&gt;=Scoring!$B$19,"Tier 2","Tier 3"))</f>
        <v/>
      </c>
      <c r="AB59" s="21" t="n"/>
      <c r="AC59" s="21" t="n"/>
    </row>
    <row r="60">
      <c r="A60" s="10" t="inlineStr">
        <is>
          <t>cu:95052</t>
        </is>
      </c>
      <c r="B60" s="10" t="inlineStr">
        <is>
          <t>South Bay CU</t>
        </is>
      </c>
      <c r="C60" s="10" t="inlineStr">
        <is>
          <t>Redondo Beach</t>
        </is>
      </c>
      <c r="D60" s="10" t="inlineStr">
        <is>
          <t>Los Angeles</t>
        </is>
      </c>
      <c r="E60" s="17" t="n">
        <v>160.574104</v>
      </c>
      <c r="F60" s="17" t="n">
        <v>144.1394</v>
      </c>
      <c r="G60" s="17" t="n">
        <v>123.457654</v>
      </c>
      <c r="H60" s="17" t="n">
        <v>58.602203</v>
      </c>
      <c r="I60" s="18">
        <f>IF(F60=0,"",G60/F60)</f>
        <v/>
      </c>
      <c r="J60" s="19" t="n">
        <v>0.1358246532703679</v>
      </c>
      <c r="K60" s="19" t="n">
        <v>0.0941</v>
      </c>
      <c r="L60" s="18">
        <f>IF(G60=0,"",H60/G60)</f>
        <v/>
      </c>
      <c r="M60" s="17" t="n">
        <v>3.812</v>
      </c>
      <c r="N60" s="18">
        <f>IF(E60=0,"",2*M60/E60)</f>
        <v/>
      </c>
      <c r="O60" s="17" t="n">
        <v>0</v>
      </c>
      <c r="P60" s="19" t="n">
        <v>0.07595306257273116</v>
      </c>
      <c r="Q60" s="19" t="n">
        <v>0.03362627837703824</v>
      </c>
      <c r="R60" s="18">
        <f>IF(OR(P60="",Q60=""),"",P60-Q60)</f>
        <v/>
      </c>
      <c r="S60" s="20" t="n"/>
      <c r="T60" s="20" t="n"/>
      <c r="U60" s="18" t="n"/>
      <c r="V60" s="20" t="n"/>
      <c r="W60" s="20" t="n"/>
      <c r="X60" s="18" t="n"/>
      <c r="Y60" s="10" t="inlineStr">
        <is>
          <t>No HMDA mortgage reporting</t>
        </is>
      </c>
      <c r="Z60" s="20">
        <f>ROUND(100*(Scoring!$B$11*(1-IFERROR(PERCENTRANK($I$2:$I$67,I60),0.5))+Scoring!$B$12*IFERROR(PERCENTRANK($J$2:$J$67,J60),0.5)+Scoring!$B$13*IFERROR(PERCENTRANK($K$2:$K$67,K60),0.5)+Scoring!$B$14*IFERROR(PERCENTRANK($R$2:$R$67,R60),0.5)+Scoring!$B$15*(1-IFERROR(PERCENTRANK($N$2:$N$67,N60),0.5))+Scoring!$B$16*(1-IFERROR(PERCENTRANK($L$2:$L$67,L60),0.5))),0)</f>
        <v/>
      </c>
      <c r="AA60" s="10">
        <f>IF(AND(Z60&gt;=Scoring!$B$18,E60&gt;=Scoring!$B$20,Y60&lt;&gt;"Already takes broker loans"),"Tier 1",IF(Z60&gt;=Scoring!$B$19,"Tier 2","Tier 3"))</f>
        <v/>
      </c>
      <c r="AB60" s="21" t="n"/>
      <c r="AC60" s="21" t="n"/>
    </row>
    <row r="61">
      <c r="A61" s="10" t="inlineStr">
        <is>
          <t>cu:5816</t>
        </is>
      </c>
      <c r="B61" s="10" t="inlineStr">
        <is>
          <t>Interfaith CU</t>
        </is>
      </c>
      <c r="C61" s="10" t="inlineStr">
        <is>
          <t>Montclair</t>
        </is>
      </c>
      <c r="D61" s="10" t="inlineStr">
        <is>
          <t>San Bernardino</t>
        </is>
      </c>
      <c r="E61" s="17" t="n">
        <v>134.829761</v>
      </c>
      <c r="F61" s="17" t="n">
        <v>118.314855</v>
      </c>
      <c r="G61" s="17" t="n">
        <v>72.24314699999999</v>
      </c>
      <c r="H61" s="17" t="n">
        <v>31.904412</v>
      </c>
      <c r="I61" s="18">
        <f>IF(F61=0,"",G61/F61)</f>
        <v/>
      </c>
      <c r="J61" s="19" t="n">
        <v>0.434929770438442</v>
      </c>
      <c r="K61" s="19" t="n">
        <v>0.1187</v>
      </c>
      <c r="L61" s="18">
        <f>IF(G61=0,"",H61/G61)</f>
        <v/>
      </c>
      <c r="M61" s="17" t="n">
        <v>0.625</v>
      </c>
      <c r="N61" s="18">
        <f>IF(E61=0,"",2*M61/E61)</f>
        <v/>
      </c>
      <c r="O61" s="17" t="n">
        <v>0</v>
      </c>
      <c r="P61" s="19" t="n">
        <v>0.009878926622387985</v>
      </c>
      <c r="Q61" s="19" t="n">
        <v>0.00388037613303327</v>
      </c>
      <c r="R61" s="18">
        <f>IF(OR(P61="",Q61=""),"",P61-Q61)</f>
        <v/>
      </c>
      <c r="S61" s="20" t="n"/>
      <c r="T61" s="20" t="n"/>
      <c r="U61" s="18" t="n"/>
      <c r="V61" s="20" t="n"/>
      <c r="W61" s="20" t="n"/>
      <c r="X61" s="18" t="n"/>
      <c r="Y61" s="10" t="inlineStr">
        <is>
          <t>No HMDA mortgage reporting</t>
        </is>
      </c>
      <c r="Z61" s="20">
        <f>ROUND(100*(Scoring!$B$11*(1-IFERROR(PERCENTRANK($I$2:$I$67,I61),0.5))+Scoring!$B$12*IFERROR(PERCENTRANK($J$2:$J$67,J61),0.5)+Scoring!$B$13*IFERROR(PERCENTRANK($K$2:$K$67,K61),0.5)+Scoring!$B$14*IFERROR(PERCENTRANK($R$2:$R$67,R61),0.5)+Scoring!$B$15*(1-IFERROR(PERCENTRANK($N$2:$N$67,N61),0.5))+Scoring!$B$16*(1-IFERROR(PERCENTRANK($L$2:$L$67,L61),0.5))),0)</f>
        <v/>
      </c>
      <c r="AA61" s="10">
        <f>IF(AND(Z61&gt;=Scoring!$B$18,E61&gt;=Scoring!$B$20,Y61&lt;&gt;"Already takes broker loans"),"Tier 1",IF(Z61&gt;=Scoring!$B$19,"Tier 2","Tier 3"))</f>
        <v/>
      </c>
      <c r="AB61" s="21" t="n"/>
      <c r="AC61" s="21" t="n"/>
    </row>
    <row r="62">
      <c r="A62" s="10" t="inlineStr">
        <is>
          <t>cu:7770</t>
        </is>
      </c>
      <c r="B62" s="10" t="inlineStr">
        <is>
          <t>Thinkwise CU</t>
        </is>
      </c>
      <c r="C62" s="10" t="inlineStr">
        <is>
          <t>San Bernardino</t>
        </is>
      </c>
      <c r="D62" s="10" t="inlineStr">
        <is>
          <t>San Bernardino</t>
        </is>
      </c>
      <c r="E62" s="17" t="n">
        <v>122.806508</v>
      </c>
      <c r="F62" s="17" t="n">
        <v>109.569816</v>
      </c>
      <c r="G62" s="17" t="n">
        <v>56.068532</v>
      </c>
      <c r="H62" s="17" t="n">
        <v>6.514414</v>
      </c>
      <c r="I62" s="18">
        <f>IF(F62=0,"",G62/F62)</f>
        <v/>
      </c>
      <c r="J62" s="19" t="n">
        <v>0.4104064338349235</v>
      </c>
      <c r="K62" s="19" t="n">
        <v>0.0859</v>
      </c>
      <c r="L62" s="18">
        <f>IF(G62=0,"",H62/G62)</f>
        <v/>
      </c>
      <c r="M62" s="17" t="n">
        <v>0</v>
      </c>
      <c r="N62" s="18">
        <f>IF(E62=0,"",2*M62/E62)</f>
        <v/>
      </c>
      <c r="O62" s="17" t="n">
        <v>0</v>
      </c>
      <c r="P62" s="19" t="n">
        <v>0.03538912487123769</v>
      </c>
      <c r="Q62" s="19" t="n">
        <v>0.009428674336461107</v>
      </c>
      <c r="R62" s="18">
        <f>IF(OR(P62="",Q62=""),"",P62-Q62)</f>
        <v/>
      </c>
      <c r="S62" s="20" t="n"/>
      <c r="T62" s="20" t="n"/>
      <c r="U62" s="18" t="n"/>
      <c r="V62" s="20" t="n"/>
      <c r="W62" s="20" t="n"/>
      <c r="X62" s="18" t="n"/>
      <c r="Y62" s="10" t="inlineStr">
        <is>
          <t>No HMDA mortgage reporting</t>
        </is>
      </c>
      <c r="Z62" s="20">
        <f>ROUND(100*(Scoring!$B$11*(1-IFERROR(PERCENTRANK($I$2:$I$67,I62),0.5))+Scoring!$B$12*IFERROR(PERCENTRANK($J$2:$J$67,J62),0.5)+Scoring!$B$13*IFERROR(PERCENTRANK($K$2:$K$67,K62),0.5)+Scoring!$B$14*IFERROR(PERCENTRANK($R$2:$R$67,R62),0.5)+Scoring!$B$15*(1-IFERROR(PERCENTRANK($N$2:$N$67,N62),0.5))+Scoring!$B$16*(1-IFERROR(PERCENTRANK($L$2:$L$67,L62),0.5))),0)</f>
        <v/>
      </c>
      <c r="AA62" s="10">
        <f>IF(AND(Z62&gt;=Scoring!$B$18,E62&gt;=Scoring!$B$20,Y62&lt;&gt;"Already takes broker loans"),"Tier 1",IF(Z62&gt;=Scoring!$B$19,"Tier 2","Tier 3"))</f>
        <v/>
      </c>
      <c r="AB62" s="21" t="n"/>
      <c r="AC62" s="21" t="n"/>
    </row>
    <row r="63">
      <c r="A63" s="10" t="inlineStr">
        <is>
          <t>cu:7817</t>
        </is>
      </c>
      <c r="B63" s="10" t="inlineStr">
        <is>
          <t>Sea Air CU</t>
        </is>
      </c>
      <c r="C63" s="10" t="inlineStr">
        <is>
          <t>Seal Beach</t>
        </is>
      </c>
      <c r="D63" s="10" t="inlineStr">
        <is>
          <t>Orange</t>
        </is>
      </c>
      <c r="E63" s="17" t="n">
        <v>118.82794</v>
      </c>
      <c r="F63" s="17" t="n">
        <v>90.814229</v>
      </c>
      <c r="G63" s="17" t="n">
        <v>45.076631</v>
      </c>
      <c r="H63" s="17" t="n">
        <v>8.268195</v>
      </c>
      <c r="I63" s="18">
        <f>IF(F63=0,"",G63/F63)</f>
        <v/>
      </c>
      <c r="J63" s="19" t="n">
        <v>0.5274524577300591</v>
      </c>
      <c r="K63" s="19" t="n">
        <v>0.2339</v>
      </c>
      <c r="L63" s="18">
        <f>IF(G63=0,"",H63/G63)</f>
        <v/>
      </c>
      <c r="M63" s="17" t="n">
        <v>1.49</v>
      </c>
      <c r="N63" s="18">
        <f>IF(E63=0,"",2*M63/E63)</f>
        <v/>
      </c>
      <c r="O63" s="17" t="n">
        <v>0</v>
      </c>
      <c r="P63" s="19" t="n">
        <v>0.001677900558829881</v>
      </c>
      <c r="Q63" s="19" t="n">
        <v>-0.05176358859333596</v>
      </c>
      <c r="R63" s="18">
        <f>IF(OR(P63="",Q63=""),"",P63-Q63)</f>
        <v/>
      </c>
      <c r="S63" s="20" t="n"/>
      <c r="T63" s="20" t="n"/>
      <c r="U63" s="18" t="n"/>
      <c r="V63" s="20" t="n"/>
      <c r="W63" s="20" t="n"/>
      <c r="X63" s="18" t="n"/>
      <c r="Y63" s="10" t="inlineStr">
        <is>
          <t>No HMDA mortgage reporting</t>
        </is>
      </c>
      <c r="Z63" s="20">
        <f>ROUND(100*(Scoring!$B$11*(1-IFERROR(PERCENTRANK($I$2:$I$67,I63),0.5))+Scoring!$B$12*IFERROR(PERCENTRANK($J$2:$J$67,J63),0.5)+Scoring!$B$13*IFERROR(PERCENTRANK($K$2:$K$67,K63),0.5)+Scoring!$B$14*IFERROR(PERCENTRANK($R$2:$R$67,R63),0.5)+Scoring!$B$15*(1-IFERROR(PERCENTRANK($N$2:$N$67,N63),0.5))+Scoring!$B$16*(1-IFERROR(PERCENTRANK($L$2:$L$67,L63),0.5))),0)</f>
        <v/>
      </c>
      <c r="AA63" s="10">
        <f>IF(AND(Z63&gt;=Scoring!$B$18,E63&gt;=Scoring!$B$20,Y63&lt;&gt;"Already takes broker loans"),"Tier 1",IF(Z63&gt;=Scoring!$B$19,"Tier 2","Tier 3"))</f>
        <v/>
      </c>
      <c r="AB63" s="21" t="n"/>
      <c r="AC63" s="21" t="n"/>
    </row>
    <row r="64">
      <c r="A64" s="10" t="inlineStr">
        <is>
          <t>cu:10351</t>
        </is>
      </c>
      <c r="B64" s="10" t="inlineStr">
        <is>
          <t>La Loma CU</t>
        </is>
      </c>
      <c r="C64" s="10" t="inlineStr">
        <is>
          <t>Loma Linda</t>
        </is>
      </c>
      <c r="D64" s="10" t="inlineStr">
        <is>
          <t>San Bernardino</t>
        </is>
      </c>
      <c r="E64" s="17" t="n">
        <v>116.641301</v>
      </c>
      <c r="F64" s="17" t="n">
        <v>110.458657</v>
      </c>
      <c r="G64" s="17" t="n">
        <v>73.869347</v>
      </c>
      <c r="H64" s="17" t="n">
        <v>21.835204</v>
      </c>
      <c r="I64" s="18">
        <f>IF(F64=0,"",G64/F64)</f>
        <v/>
      </c>
      <c r="J64" s="19" t="n">
        <v>0.2839338014585417</v>
      </c>
      <c r="K64" s="19" t="n">
        <v>0.0973</v>
      </c>
      <c r="L64" s="18">
        <f>IF(G64=0,"",H64/G64)</f>
        <v/>
      </c>
      <c r="M64" s="17" t="n">
        <v>1.720555</v>
      </c>
      <c r="N64" s="18">
        <f>IF(E64=0,"",2*M64/E64)</f>
        <v/>
      </c>
      <c r="O64" s="17" t="n">
        <v>0</v>
      </c>
      <c r="P64" s="19" t="n">
        <v>0.02200143437230428</v>
      </c>
      <c r="Q64" s="19" t="n">
        <v>0.0282031647752381</v>
      </c>
      <c r="R64" s="18">
        <f>IF(OR(P64="",Q64=""),"",P64-Q64)</f>
        <v/>
      </c>
      <c r="S64" s="20" t="n"/>
      <c r="T64" s="20" t="n"/>
      <c r="U64" s="18" t="n"/>
      <c r="V64" s="20" t="n"/>
      <c r="W64" s="20" t="n"/>
      <c r="X64" s="18" t="n"/>
      <c r="Y64" s="10" t="inlineStr">
        <is>
          <t>No HMDA mortgage reporting</t>
        </is>
      </c>
      <c r="Z64" s="20">
        <f>ROUND(100*(Scoring!$B$11*(1-IFERROR(PERCENTRANK($I$2:$I$67,I64),0.5))+Scoring!$B$12*IFERROR(PERCENTRANK($J$2:$J$67,J64),0.5)+Scoring!$B$13*IFERROR(PERCENTRANK($K$2:$K$67,K64),0.5)+Scoring!$B$14*IFERROR(PERCENTRANK($R$2:$R$67,R64),0.5)+Scoring!$B$15*(1-IFERROR(PERCENTRANK($N$2:$N$67,N64),0.5))+Scoring!$B$16*(1-IFERROR(PERCENTRANK($L$2:$L$67,L64),0.5))),0)</f>
        <v/>
      </c>
      <c r="AA64" s="10">
        <f>IF(AND(Z64&gt;=Scoring!$B$18,E64&gt;=Scoring!$B$20,Y64&lt;&gt;"Already takes broker loans"),"Tier 1",IF(Z64&gt;=Scoring!$B$19,"Tier 2","Tier 3"))</f>
        <v/>
      </c>
      <c r="AB64" s="21" t="n"/>
      <c r="AC64" s="21" t="n"/>
    </row>
    <row r="65">
      <c r="A65" s="10" t="inlineStr">
        <is>
          <t>cu:24520</t>
        </is>
      </c>
      <c r="B65" s="10" t="inlineStr">
        <is>
          <t>Santa Ana CU</t>
        </is>
      </c>
      <c r="C65" s="10" t="inlineStr">
        <is>
          <t>Santa Ana</t>
        </is>
      </c>
      <c r="D65" s="10" t="inlineStr">
        <is>
          <t>Orange</t>
        </is>
      </c>
      <c r="E65" s="17" t="n">
        <v>111.644748</v>
      </c>
      <c r="F65" s="17" t="n">
        <v>95.670785</v>
      </c>
      <c r="G65" s="17" t="n">
        <v>67.504133</v>
      </c>
      <c r="H65" s="17" t="n">
        <v>22.702819</v>
      </c>
      <c r="I65" s="18">
        <f>IF(F65=0,"",G65/F65)</f>
        <v/>
      </c>
      <c r="J65" s="19" t="n">
        <v>0.3403204152514187</v>
      </c>
      <c r="K65" s="19" t="n">
        <v>0.1347</v>
      </c>
      <c r="L65" s="18">
        <f>IF(G65=0,"",H65/G65)</f>
        <v/>
      </c>
      <c r="M65" s="17" t="n">
        <v>0.62</v>
      </c>
      <c r="N65" s="18">
        <f>IF(E65=0,"",2*M65/E65)</f>
        <v/>
      </c>
      <c r="O65" s="17" t="n">
        <v>0</v>
      </c>
      <c r="P65" s="19" t="n">
        <v>0.03880332359176819</v>
      </c>
      <c r="Q65" s="19" t="n">
        <v>0.09620466352775092</v>
      </c>
      <c r="R65" s="18">
        <f>IF(OR(P65="",Q65=""),"",P65-Q65)</f>
        <v/>
      </c>
      <c r="S65" s="20" t="n"/>
      <c r="T65" s="20" t="n"/>
      <c r="U65" s="18" t="n"/>
      <c r="V65" s="20" t="n"/>
      <c r="W65" s="20" t="n"/>
      <c r="X65" s="18" t="n"/>
      <c r="Y65" s="10" t="inlineStr">
        <is>
          <t>No HMDA mortgage reporting</t>
        </is>
      </c>
      <c r="Z65" s="20">
        <f>ROUND(100*(Scoring!$B$11*(1-IFERROR(PERCENTRANK($I$2:$I$67,I65),0.5))+Scoring!$B$12*IFERROR(PERCENTRANK($J$2:$J$67,J65),0.5)+Scoring!$B$13*IFERROR(PERCENTRANK($K$2:$K$67,K65),0.5)+Scoring!$B$14*IFERROR(PERCENTRANK($R$2:$R$67,R65),0.5)+Scoring!$B$15*(1-IFERROR(PERCENTRANK($N$2:$N$67,N65),0.5))+Scoring!$B$16*(1-IFERROR(PERCENTRANK($L$2:$L$67,L65),0.5))),0)</f>
        <v/>
      </c>
      <c r="AA65" s="10">
        <f>IF(AND(Z65&gt;=Scoring!$B$18,E65&gt;=Scoring!$B$20,Y65&lt;&gt;"Already takes broker loans"),"Tier 1",IF(Z65&gt;=Scoring!$B$19,"Tier 2","Tier 3"))</f>
        <v/>
      </c>
      <c r="AB65" s="21" t="n"/>
      <c r="AC65" s="21" t="n"/>
    </row>
    <row r="66">
      <c r="A66" s="10" t="inlineStr">
        <is>
          <t>cu:1204</t>
        </is>
      </c>
      <c r="B66" s="10" t="inlineStr">
        <is>
          <t>Rancho CU</t>
        </is>
      </c>
      <c r="C66" s="10" t="inlineStr">
        <is>
          <t>Downey</t>
        </is>
      </c>
      <c r="D66" s="10" t="inlineStr">
        <is>
          <t>Los Angeles</t>
        </is>
      </c>
      <c r="E66" s="17" t="n">
        <v>108.804152</v>
      </c>
      <c r="F66" s="17" t="n">
        <v>99.727295</v>
      </c>
      <c r="G66" s="17" t="n">
        <v>60.464358</v>
      </c>
      <c r="H66" s="17" t="n">
        <v>27.928192</v>
      </c>
      <c r="I66" s="18">
        <f>IF(F66=0,"",G66/F66)</f>
        <v/>
      </c>
      <c r="J66" s="19" t="n">
        <v>0.4201554826694481</v>
      </c>
      <c r="K66" s="19" t="n">
        <v>0.0864</v>
      </c>
      <c r="L66" s="18">
        <f>IF(G66=0,"",H66/G66)</f>
        <v/>
      </c>
      <c r="M66" s="17" t="n">
        <v>0.332</v>
      </c>
      <c r="N66" s="18">
        <f>IF(E66=0,"",2*M66/E66)</f>
        <v/>
      </c>
      <c r="O66" s="17" t="n">
        <v>0</v>
      </c>
      <c r="P66" s="19" t="n">
        <v>-0.004741453298523823</v>
      </c>
      <c r="Q66" s="19" t="n">
        <v>-0.02613708943084581</v>
      </c>
      <c r="R66" s="18">
        <f>IF(OR(P66="",Q66=""),"",P66-Q66)</f>
        <v/>
      </c>
      <c r="S66" s="20" t="n"/>
      <c r="T66" s="20" t="n"/>
      <c r="U66" s="18" t="n"/>
      <c r="V66" s="20" t="n"/>
      <c r="W66" s="20" t="n"/>
      <c r="X66" s="18" t="n"/>
      <c r="Y66" s="10" t="inlineStr">
        <is>
          <t>No HMDA mortgage reporting</t>
        </is>
      </c>
      <c r="Z66" s="20">
        <f>ROUND(100*(Scoring!$B$11*(1-IFERROR(PERCENTRANK($I$2:$I$67,I66),0.5))+Scoring!$B$12*IFERROR(PERCENTRANK($J$2:$J$67,J66),0.5)+Scoring!$B$13*IFERROR(PERCENTRANK($K$2:$K$67,K66),0.5)+Scoring!$B$14*IFERROR(PERCENTRANK($R$2:$R$67,R66),0.5)+Scoring!$B$15*(1-IFERROR(PERCENTRANK($N$2:$N$67,N66),0.5))+Scoring!$B$16*(1-IFERROR(PERCENTRANK($L$2:$L$67,L66),0.5))),0)</f>
        <v/>
      </c>
      <c r="AA66" s="10">
        <f>IF(AND(Z66&gt;=Scoring!$B$18,E66&gt;=Scoring!$B$20,Y66&lt;&gt;"Already takes broker loans"),"Tier 1",IF(Z66&gt;=Scoring!$B$19,"Tier 2","Tier 3"))</f>
        <v/>
      </c>
      <c r="AB66" s="21" t="n"/>
      <c r="AC66" s="21" t="n"/>
    </row>
    <row r="67">
      <c r="A67" s="10" t="inlineStr">
        <is>
          <t>cu:7557</t>
        </is>
      </c>
      <c r="B67" s="10" t="inlineStr">
        <is>
          <t>Glendale CU</t>
        </is>
      </c>
      <c r="C67" s="10" t="inlineStr">
        <is>
          <t>Glendale</t>
        </is>
      </c>
      <c r="D67" s="10" t="inlineStr">
        <is>
          <t>Los Angeles</t>
        </is>
      </c>
      <c r="E67" s="17" t="n">
        <v>102.659855</v>
      </c>
      <c r="F67" s="17" t="n">
        <v>86.514506</v>
      </c>
      <c r="G67" s="17" t="n">
        <v>63.482508</v>
      </c>
      <c r="H67" s="17" t="n">
        <v>28.61782</v>
      </c>
      <c r="I67" s="18">
        <f>IF(F67=0,"",G67/F67)</f>
        <v/>
      </c>
      <c r="J67" s="19" t="n">
        <v>0.2921528283865197</v>
      </c>
      <c r="K67" s="19" t="n">
        <v>0.1258</v>
      </c>
      <c r="L67" s="18">
        <f>IF(G67=0,"",H67/G67)</f>
        <v/>
      </c>
      <c r="M67" s="17" t="n">
        <v>5.4501</v>
      </c>
      <c r="N67" s="18">
        <f>IF(E67=0,"",2*M67/E67)</f>
        <v/>
      </c>
      <c r="O67" s="17" t="n">
        <v>0</v>
      </c>
      <c r="P67" s="19" t="n">
        <v>-0.01603927130647109</v>
      </c>
      <c r="Q67" s="19" t="n">
        <v>0.07152779885321348</v>
      </c>
      <c r="R67" s="18">
        <f>IF(OR(P67="",Q67=""),"",P67-Q67)</f>
        <v/>
      </c>
      <c r="S67" s="20" t="n"/>
      <c r="T67" s="20" t="n"/>
      <c r="U67" s="18" t="n"/>
      <c r="V67" s="20" t="n"/>
      <c r="W67" s="20" t="n"/>
      <c r="X67" s="18" t="n"/>
      <c r="Y67" s="10" t="inlineStr">
        <is>
          <t>No HMDA mortgage reporting</t>
        </is>
      </c>
      <c r="Z67" s="20">
        <f>ROUND(100*(Scoring!$B$11*(1-IFERROR(PERCENTRANK($I$2:$I$67,I67),0.5))+Scoring!$B$12*IFERROR(PERCENTRANK($J$2:$J$67,J67),0.5)+Scoring!$B$13*IFERROR(PERCENTRANK($K$2:$K$67,K67),0.5)+Scoring!$B$14*IFERROR(PERCENTRANK($R$2:$R$67,R67),0.5)+Scoring!$B$15*(1-IFERROR(PERCENTRANK($N$2:$N$67,N67),0.5))+Scoring!$B$16*(1-IFERROR(PERCENTRANK($L$2:$L$67,L67),0.5))),0)</f>
        <v/>
      </c>
      <c r="AA67" s="10">
        <f>IF(AND(Z67&gt;=Scoring!$B$18,E67&gt;=Scoring!$B$20,Y67&lt;&gt;"Already takes broker loans"),"Tier 1",IF(Z67&gt;=Scoring!$B$19,"Tier 2","Tier 3"))</f>
        <v/>
      </c>
      <c r="AB67" s="21" t="n"/>
      <c r="AC67" s="21" t="n"/>
    </row>
  </sheetData>
  <autoFilter ref="A1:AC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2026-10-02T18:24:08Z</dcterms:created>
  <dcterms:modified xsi:type="dcterms:W3CDTF">2026-10-02T18:24:08Z</dcterms:modified>
</cp:coreProperties>
</file>